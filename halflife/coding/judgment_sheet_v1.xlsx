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TierA_claims" sheetId="2" state="visible" r:id="rId2"/>
    <sheet xmlns:r="http://schemas.openxmlformats.org/officeDocument/2006/relationships" name="PromptLevel_blind" sheetId="3" state="visible" r:id="rId3"/>
    <sheet xmlns:r="http://schemas.openxmlformats.org/officeDocument/2006/relationships" name="요약"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4">
    <fill>
      <patternFill/>
    </fill>
    <fill>
      <patternFill patternType="gray125"/>
    </fill>
    <fill>
      <patternFill patternType="solid">
        <fgColor rgb="00EEEEEE"/>
      </patternFill>
    </fill>
    <fill>
      <patternFill patternType="solid">
        <f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2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재실행 결과 3인 판정 시트 (v1.1, 2026-09-27)</t>
        </is>
      </c>
      <c r="B1" s="1" t="n"/>
      <c r="C1" s="1" t="n"/>
      <c r="D1" s="1" t="n"/>
      <c r="E1" s="1" t="n"/>
      <c r="F1" s="1" t="n"/>
      <c r="G1" s="1" t="n"/>
      <c r="H1" s="1" t="n"/>
    </row>
    <row r="2">
      <c r="A2" s="2" t="inlineStr"/>
      <c r="B2" s="2" t="n"/>
      <c r="C2" s="2" t="n"/>
      <c r="D2" s="2" t="n"/>
      <c r="E2" s="2" t="n"/>
      <c r="F2" s="2" t="n"/>
      <c r="G2" s="2" t="n"/>
      <c r="H2" s="2" t="n"/>
    </row>
    <row r="3">
      <c r="A3" s="2" t="inlineStr">
        <is>
          <t>규칙 (ANALYSIS_PLAN 1절, 2026-09-02 고정): 생존 = 효과 방향 동일, 원 논문이 검정을 보고했으면 유의성 유지, 효과크기의 부호와 크기급 유지. 부분 생존 = 방향은 같으나 유의성 또는 크기급이 달라짐. 사망 = 방향이 뒤집히거나 핵심 주장이 성립하지 않음. 판정 불능 = 근거가 모자라 판단할 수 없음.</t>
        </is>
      </c>
      <c r="B3" s="2" t="n"/>
      <c r="C3" s="2" t="n"/>
      <c r="D3" s="2" t="n"/>
      <c r="E3" s="2" t="n"/>
      <c r="F3" s="2" t="n"/>
      <c r="G3" s="2" t="n"/>
      <c r="H3" s="2" t="n"/>
    </row>
    <row r="4">
      <c r="A4" s="2" t="inlineStr">
        <is>
          <t>결론 수준 = 그 값이 뒷받침하던 논문의 문장이 지금도 성립하는가 (핵심 주장 성립 / 부분 성립 / 불성립 / 판단 불가).</t>
        </is>
      </c>
      <c r="B4" s="2" t="n"/>
      <c r="C4" s="2" t="n"/>
      <c r="D4" s="2" t="n"/>
      <c r="E4" s="2" t="n"/>
      <c r="F4" s="2" t="n"/>
      <c r="G4" s="2" t="n"/>
      <c r="H4" s="2" t="n"/>
    </row>
    <row r="5">
      <c r="A5" s="2" t="inlineStr"/>
      <c r="B5" s="2" t="n"/>
      <c r="C5" s="2" t="n"/>
      <c r="D5" s="2" t="n"/>
      <c r="E5" s="2" t="n"/>
      <c r="F5" s="2" t="n"/>
      <c r="G5" s="2" t="n"/>
      <c r="H5" s="2" t="n"/>
    </row>
    <row r="6">
      <c r="A6" s="2" t="inlineStr">
        <is>
          <t>채우는 칸은 노란색뿐입니다: 판정, 결론 수준, 메모. 다른 판정자와 상의하지 않고 채웁니다. 판정이 어려우면 메모에 이유를 적고 '판정 불능'을 고릅니다. 다수결과 일치 열은 수식이라 손대지 않습니다.</t>
        </is>
      </c>
      <c r="B6" s="2" t="n"/>
      <c r="C6" s="2" t="n"/>
      <c r="D6" s="2" t="n"/>
      <c r="E6" s="2" t="n"/>
      <c r="F6" s="2" t="n"/>
      <c r="G6" s="2" t="n"/>
      <c r="H6" s="2" t="n"/>
    </row>
    <row r="7">
      <c r="A7" s="2" t="inlineStr">
        <is>
          <t>회색 열은 근거입니다. 원 논문 값, 재실행 값과 95% 구간, 문항 수, 파싱 실패 수, 비용 상한 부분집합 여부, 자동 가안. 자동 가안은 참고용이며 판정을 대신하지 않습니다. 자동 가안과 다르게 판정해도 됩니다. 그것이 이 작업의 목적입니다.</t>
        </is>
      </c>
      <c r="B7" s="2" t="n"/>
      <c r="C7" s="2" t="n"/>
      <c r="D7" s="2" t="n"/>
      <c r="E7" s="2" t="n"/>
      <c r="F7" s="2" t="n"/>
      <c r="G7" s="2" t="n"/>
      <c r="H7" s="2" t="n"/>
    </row>
    <row r="8">
      <c r="A8" s="2" t="inlineStr">
        <is>
          <t>판단 기준은 값과 구간입니다. 원 논문 값이 재실행의 95% 구간 안이거나 차이가 2점 이내면 대체로 생존, 5점 이내면 부분 생존, 그 밖이면 사망으로 읽되, 지표의 성격(비율, 상관, 점수)과 논문이 그 값으로 무엇을 주장했는지를 함께 봅니다.</t>
        </is>
      </c>
      <c r="B8" s="2" t="n"/>
      <c r="C8" s="2" t="n"/>
      <c r="D8" s="2" t="n"/>
      <c r="E8" s="2" t="n"/>
      <c r="F8" s="2" t="n"/>
      <c r="G8" s="2" t="n"/>
      <c r="H8" s="2" t="n"/>
    </row>
    <row r="9">
      <c r="A9" s="2" t="inlineStr"/>
      <c r="B9" s="2" t="n"/>
      <c r="C9" s="2" t="n"/>
      <c r="D9" s="2" t="n"/>
      <c r="E9" s="2" t="n"/>
      <c r="F9" s="2" t="n"/>
      <c r="G9" s="2" t="n"/>
      <c r="H9" s="2" t="n"/>
    </row>
    <row r="10">
      <c r="A10" s="2" t="inlineStr">
        <is>
          <t>TierA_claims: 저장소 기반 재실행 논문의 주장 95건. 근거 파일 열의 run_meta.json에 실행 조건과 관찰된 마찰이 있습니다. '사람 확인 항목'이 '예'인 논문은 harness/cards/HUMAN_CHECKS.md의 결정이 먼저 필요합니다.</t>
        </is>
      </c>
      <c r="B10" s="2" t="n"/>
      <c r="C10" s="2" t="n"/>
      <c r="D10" s="2" t="n"/>
      <c r="E10" s="2" t="n"/>
      <c r="F10" s="2" t="n"/>
      <c r="G10" s="2" t="n"/>
      <c r="H10" s="2" t="n"/>
    </row>
    <row r="11">
      <c r="A11" s="2" t="inlineStr">
        <is>
          <t>PromptLevel_blind: 프롬프트 수준 결과 343행(86편). 같은 논문의 행들은 사망 전 고정 모델 실행과 후속 모델 실행이 섞여 있고, 어느 것이 어느 조건인지는 조건 부호(A~E)로 가려져 있습니다. 조건을 추측하지 말고 행마다 값만 보고 판정합니다.</t>
        </is>
      </c>
      <c r="B11" s="2" t="n"/>
      <c r="C11" s="2" t="n"/>
      <c r="D11" s="2" t="n"/>
      <c r="E11" s="2" t="n"/>
      <c r="F11" s="2" t="n"/>
      <c r="G11" s="2" t="n"/>
      <c r="H11" s="2" t="n"/>
    </row>
    <row r="12">
      <c r="A12" s="2" t="inlineStr">
        <is>
          <t>열쇠는 coding/judgment_key_v1.csv에 있으며 판정이 끝나기 전에는 열지 않습니다 (계획의 조건 가림 코딩).</t>
        </is>
      </c>
      <c r="B12" s="2" t="n"/>
      <c r="C12" s="2" t="n"/>
      <c r="D12" s="2" t="n"/>
      <c r="E12" s="2" t="n"/>
      <c r="F12" s="2" t="n"/>
      <c r="G12" s="2" t="n"/>
      <c r="H12" s="2" t="n"/>
    </row>
    <row r="13">
      <c r="A13" s="2" t="inlineStr"/>
      <c r="B13" s="2" t="n"/>
      <c r="C13" s="2" t="n"/>
      <c r="D13" s="2" t="n"/>
      <c r="E13" s="2" t="n"/>
      <c r="F13" s="2" t="n"/>
      <c r="G13" s="2" t="n"/>
      <c r="H13" s="2" t="n"/>
    </row>
    <row r="14">
      <c r="A14" s="2" t="inlineStr">
        <is>
          <t>예시 행 (형식만 보이기 위한 가상의 값입니다. 데이터 시트에는 들어 있지 않습니다):</t>
        </is>
      </c>
      <c r="B14" s="2" t="n"/>
      <c r="C14" s="2" t="n"/>
      <c r="D14" s="2" t="n"/>
      <c r="E14" s="2" t="n"/>
      <c r="F14" s="2" t="n"/>
      <c r="G14" s="2" t="n"/>
      <c r="H14" s="2" t="n"/>
    </row>
    <row r="15">
      <c r="A15" s="1" t="inlineStr">
        <is>
          <t>번호</t>
        </is>
      </c>
      <c r="B15" s="1" t="inlineStr">
        <is>
          <t>논문</t>
        </is>
      </c>
      <c r="C15" s="1" t="inlineStr">
        <is>
          <t>원 논문 값</t>
        </is>
      </c>
      <c r="D15" s="1" t="inlineStr">
        <is>
          <t>재실행 값</t>
        </is>
      </c>
      <c r="E15" s="1" t="inlineStr">
        <is>
          <t>95% 구간</t>
        </is>
      </c>
      <c r="F15" s="1" t="inlineStr">
        <is>
          <t>판정 A</t>
        </is>
      </c>
      <c r="G15" s="1" t="inlineStr">
        <is>
          <t>결론 수준 A</t>
        </is>
      </c>
      <c r="H15" s="1" t="inlineStr">
        <is>
          <t>메모 A</t>
        </is>
      </c>
    </row>
    <row r="16">
      <c r="A16" s="2" t="n">
        <v>0</v>
      </c>
      <c r="B16" s="2" t="inlineStr">
        <is>
          <t>(예시) 어떤 벤치마크 논문</t>
        </is>
      </c>
      <c r="C16" s="2" t="n">
        <v>62</v>
      </c>
      <c r="D16" s="2" t="n">
        <v>60.5</v>
      </c>
      <c r="E16" s="2" t="inlineStr">
        <is>
          <t>[57.9, 63.1]</t>
        </is>
      </c>
      <c r="F16" s="3" t="inlineStr">
        <is>
          <t>생존</t>
        </is>
      </c>
      <c r="G16" s="3" t="inlineStr">
        <is>
          <t>핵심 주장 성립</t>
        </is>
      </c>
      <c r="H16" s="3" t="inlineStr">
        <is>
          <t>구간 안, 방향 동일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6"/>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40" customWidth="1" min="3" max="3"/>
    <col width="44" customWidth="1" min="4" max="4"/>
    <col width="11" customWidth="1" min="5" max="5"/>
    <col width="11" customWidth="1" min="6" max="6"/>
    <col width="11" customWidth="1" min="7" max="7"/>
    <col width="11" customWidth="1" min="8" max="8"/>
    <col width="9" customWidth="1" min="9" max="9"/>
    <col width="20" customWidth="1" min="10" max="10"/>
    <col width="40" customWidth="1" min="11" max="11"/>
    <col width="30" customWidth="1" min="12" max="12"/>
    <col width="14" customWidth="1" min="13" max="13"/>
    <col width="12" customWidth="1" min="14" max="14"/>
    <col width="12" customWidth="1" min="15" max="15"/>
    <col width="12" customWidth="1" min="16" max="16"/>
    <col width="14" customWidth="1" min="17" max="17"/>
    <col width="14" customWidth="1" min="18" max="18"/>
    <col width="14" customWidth="1" min="19" max="19"/>
    <col width="24" customWidth="1" min="20" max="20"/>
    <col width="24" customWidth="1" min="21" max="21"/>
    <col width="24" customWidth="1" min="22" max="22"/>
    <col width="12" customWidth="1" min="23" max="23"/>
    <col width="8" customWidth="1" min="24" max="24"/>
  </cols>
  <sheetData>
    <row r="1">
      <c r="A1" s="4" t="inlineStr">
        <is>
          <t>번호</t>
        </is>
      </c>
      <c r="B1" s="4" t="inlineStr">
        <is>
          <t>카드</t>
        </is>
      </c>
      <c r="C1" s="4" t="inlineStr">
        <is>
          <t>논문</t>
        </is>
      </c>
      <c r="D1" s="4" t="inlineStr">
        <is>
          <t>주장(지표)</t>
        </is>
      </c>
      <c r="E1" s="4" t="inlineStr">
        <is>
          <t>원 논문 값</t>
        </is>
      </c>
      <c r="F1" s="4" t="inlineStr">
        <is>
          <t>재실행 값</t>
        </is>
      </c>
      <c r="G1" s="4" t="inlineStr">
        <is>
          <t>95% 구간 하한</t>
        </is>
      </c>
      <c r="H1" s="4" t="inlineStr">
        <is>
          <t>95% 구간 상한</t>
        </is>
      </c>
      <c r="I1" s="4" t="inlineStr">
        <is>
          <t>규칙(척도)</t>
        </is>
      </c>
      <c r="J1" s="4" t="inlineStr">
        <is>
          <t>자동 판정(논문 단위 가안)</t>
        </is>
      </c>
      <c r="K1" s="4" t="inlineStr">
        <is>
          <t>메모(자동)</t>
        </is>
      </c>
      <c r="L1" s="4" t="inlineStr">
        <is>
          <t>근거 파일</t>
        </is>
      </c>
      <c r="M1" s="4" t="inlineStr">
        <is>
          <t>사람 확인 항목</t>
        </is>
      </c>
      <c r="N1" s="4" t="inlineStr">
        <is>
          <t>판정 A</t>
        </is>
      </c>
      <c r="O1" s="4" t="inlineStr">
        <is>
          <t>판정 B</t>
        </is>
      </c>
      <c r="P1" s="4" t="inlineStr">
        <is>
          <t>판정 C</t>
        </is>
      </c>
      <c r="Q1" s="4" t="inlineStr">
        <is>
          <t>결론 수준 A</t>
        </is>
      </c>
      <c r="R1" s="4" t="inlineStr">
        <is>
          <t>결론 수준 B</t>
        </is>
      </c>
      <c r="S1" s="4" t="inlineStr">
        <is>
          <t>결론 수준 C</t>
        </is>
      </c>
      <c r="T1" s="4" t="inlineStr">
        <is>
          <t>메모 A</t>
        </is>
      </c>
      <c r="U1" s="4" t="inlineStr">
        <is>
          <t>메모 B</t>
        </is>
      </c>
      <c r="V1" s="4" t="inlineStr">
        <is>
          <t>메모 C</t>
        </is>
      </c>
      <c r="W1" s="4" t="inlineStr">
        <is>
          <t>다수결</t>
        </is>
      </c>
      <c r="X1" s="4" t="inlineStr">
        <is>
          <t>일치</t>
        </is>
      </c>
    </row>
    <row r="2">
      <c r="A2" s="2" t="n">
        <v>1</v>
      </c>
      <c r="B2" s="2" t="inlineStr">
        <is>
          <t>T1</t>
        </is>
      </c>
      <c r="C2" s="2" t="inlineStr">
        <is>
          <t>Benchmarking Large Language Models for Bio-Image Analysis Code Generation</t>
        </is>
      </c>
      <c r="D2" s="2" t="inlineStr">
        <is>
          <t>Bio-image code generation: pass@1</t>
        </is>
      </c>
      <c r="E2" s="2" t="n">
        <v>0.4736842105263157</v>
      </c>
      <c r="F2" s="2" t="n">
        <v>0.480701754385965</v>
      </c>
      <c r="G2" s="2" t="n">
        <v>0.374</v>
      </c>
      <c r="H2" s="2" t="n">
        <v>0.581</v>
      </c>
      <c r="I2" s="2" t="inlineStr">
        <is>
          <t>x100</t>
        </is>
      </c>
      <c r="J2" s="2" t="inlineStr">
        <is>
          <t>생존 (survived): point estimate inside original CI, pass@10 identical (42/57 tasks solved at least once in both); dated snapshot shows no detectable drift 17 months after the original run</t>
        </is>
      </c>
      <c r="K2" s="2" t="inlineStr"/>
      <c r="L2" s="2" t="inlineStr">
        <is>
          <t>runs/T1/run_meta.json</t>
        </is>
      </c>
      <c r="M2" s="2" t="inlineStr"/>
      <c r="N2" s="3" t="n"/>
      <c r="O2" s="3" t="n"/>
      <c r="P2" s="3" t="n"/>
      <c r="Q2" s="3" t="n"/>
      <c r="R2" s="3" t="n"/>
      <c r="S2" s="3" t="n"/>
      <c r="T2" s="3" t="n"/>
      <c r="U2" s="3" t="n"/>
      <c r="V2" s="3" t="n"/>
      <c r="W2" s="2">
        <f>IF(COUNTA(N2:P2)&lt;3,"",IF(AND(N2=O2,O2=P2),N2,IF(N2=O2,N2,IF(N2=P2,N2,IF(O2=P2,O2,"판정 불능")))))</f>
        <v/>
      </c>
      <c r="X2" s="2">
        <f>IF(COUNTA(N2:P2)&lt;3,"",IF(AND(N2=O2,O2=P2),"3/3",IF(OR(N2=O2,N2=P2,O2=P2),"2/3","0/3")))</f>
        <v/>
      </c>
    </row>
    <row r="3">
      <c r="A3" s="2" t="n">
        <v>2</v>
      </c>
      <c r="B3" s="2" t="inlineStr">
        <is>
          <t>W7171749161</t>
        </is>
      </c>
      <c r="C3" s="2" t="inlineStr">
        <is>
          <t>Tag Questions and the Generational Reversal of Sycophancy Across 45 Language Models</t>
        </is>
      </c>
      <c r="D3" s="2" t="inlineStr">
        <is>
          <t>Tag Questions: tag effect on agreement</t>
        </is>
      </c>
      <c r="E3" s="2" t="n">
        <v>-0.075</v>
      </c>
      <c r="F3" s="2" t="n">
        <v>-0.1020833333333333</v>
      </c>
      <c r="G3" s="2" t="n">
        <v>-0.1645833333333333</v>
      </c>
      <c r="H3" s="2" t="n">
        <v>-0.05208333333333333</v>
      </c>
      <c r="I3" s="2" t="inlineStr">
        <is>
          <t>x100</t>
        </is>
      </c>
      <c r="J3" s="2" t="inlineStr">
        <is>
          <t>생존 (survived)</t>
        </is>
      </c>
      <c r="K3" s="2" t="inlineStr">
        <is>
          <t>90% interval as in the paper</t>
        </is>
      </c>
      <c r="L3" s="2" t="inlineStr">
        <is>
          <t>runs/W7171749161/run_meta.json</t>
        </is>
      </c>
      <c r="M3" s="2" t="inlineStr"/>
      <c r="N3" s="3" t="n"/>
      <c r="O3" s="3" t="n"/>
      <c r="P3" s="3" t="n"/>
      <c r="Q3" s="3" t="n"/>
      <c r="R3" s="3" t="n"/>
      <c r="S3" s="3" t="n"/>
      <c r="T3" s="3" t="n"/>
      <c r="U3" s="3" t="n"/>
      <c r="V3" s="3" t="n"/>
      <c r="W3" s="2">
        <f>IF(COUNTA(N3:P3)&lt;3,"",IF(AND(N3=O3,O3=P3),N3,IF(N3=O3,N3,IF(N3=P3,N3,IF(O3=P3,O3,"판정 불능")))))</f>
        <v/>
      </c>
      <c r="X3" s="2">
        <f>IF(COUNTA(N3:P3)&lt;3,"",IF(AND(N3=O3,O3=P3),"3/3",IF(OR(N3=O3,N3=P3,O3=P3),"2/3","0/3")))</f>
        <v/>
      </c>
    </row>
    <row r="4">
      <c r="A4" s="2" t="n">
        <v>3</v>
      </c>
      <c r="B4" s="2" t="inlineStr">
        <is>
          <t>W7140135941</t>
        </is>
      </c>
      <c r="C4" s="2" t="inlineStr">
        <is>
          <t>Knowing When to Abstain: Medical LLMs Under Clinical Uncertainty</t>
        </is>
      </c>
      <c r="D4" s="2" t="inlineStr">
        <is>
          <t>MedAbstain: accuracy, no abstain option</t>
        </is>
      </c>
      <c r="E4" s="2" t="n">
        <v>0.5404</v>
      </c>
      <c r="F4" s="2" t="n">
        <v>0.5417999999999999</v>
      </c>
      <c r="G4" s="2" t="n">
        <v>0.502</v>
      </c>
      <c r="H4" s="2" t="n">
        <v>0.58</v>
      </c>
      <c r="I4" s="2" t="inlineStr">
        <is>
          <t>x100</t>
        </is>
      </c>
      <c r="J4" s="2" t="inlineStr">
        <is>
          <t>부분 생존 (partial)</t>
        </is>
      </c>
      <c r="K4" s="2" t="inlineStr"/>
      <c r="L4" s="2" t="inlineStr">
        <is>
          <t>runs/W7140135941/run_meta.json</t>
        </is>
      </c>
      <c r="M4" s="2" t="inlineStr"/>
      <c r="N4" s="3" t="n"/>
      <c r="O4" s="3" t="n"/>
      <c r="P4" s="3" t="n"/>
      <c r="Q4" s="3" t="n"/>
      <c r="R4" s="3" t="n"/>
      <c r="S4" s="3" t="n"/>
      <c r="T4" s="3" t="n"/>
      <c r="U4" s="3" t="n"/>
      <c r="V4" s="3" t="n"/>
      <c r="W4" s="2">
        <f>IF(COUNTA(N4:P4)&lt;3,"",IF(AND(N4=O4,O4=P4),N4,IF(N4=O4,N4,IF(N4=P4,N4,IF(O4=P4,O4,"판정 불능")))))</f>
        <v/>
      </c>
      <c r="X4" s="2">
        <f>IF(COUNTA(N4:P4)&lt;3,"",IF(AND(N4=O4,O4=P4),"3/3",IF(OR(N4=O4,N4=P4,O4=P4),"2/3","0/3")))</f>
        <v/>
      </c>
    </row>
    <row r="5">
      <c r="A5" s="2" t="n">
        <v>4</v>
      </c>
      <c r="B5" s="2" t="inlineStr">
        <is>
          <t>W7140135941</t>
        </is>
      </c>
      <c r="C5" s="2" t="inlineStr">
        <is>
          <t>Knowing When to Abstain: Medical LLMs Under Clinical Uncertainty</t>
        </is>
      </c>
      <c r="D5" s="2" t="inlineStr">
        <is>
          <t>MedAbstain: accuracy, abstain option</t>
        </is>
      </c>
      <c r="E5" s="2" t="n">
        <v>0.4099</v>
      </c>
      <c r="F5" s="2" t="n">
        <v>0.4113</v>
      </c>
      <c r="G5" s="2" t="n">
        <v>0.376</v>
      </c>
      <c r="H5" s="2" t="n">
        <v>0.445</v>
      </c>
      <c r="I5" s="2" t="inlineStr">
        <is>
          <t>x100</t>
        </is>
      </c>
      <c r="J5" s="2" t="inlineStr">
        <is>
          <t>부분 생존 (partial)</t>
        </is>
      </c>
      <c r="K5" s="2" t="inlineStr"/>
      <c r="L5" s="2" t="inlineStr">
        <is>
          <t>runs/W7140135941/run_meta.json</t>
        </is>
      </c>
      <c r="M5" s="2" t="inlineStr"/>
      <c r="N5" s="3" t="n"/>
      <c r="O5" s="3" t="n"/>
      <c r="P5" s="3" t="n"/>
      <c r="Q5" s="3" t="n"/>
      <c r="R5" s="3" t="n"/>
      <c r="S5" s="3" t="n"/>
      <c r="T5" s="3" t="n"/>
      <c r="U5" s="3" t="n"/>
      <c r="V5" s="3" t="n"/>
      <c r="W5" s="2">
        <f>IF(COUNTA(N5:P5)&lt;3,"",IF(AND(N5=O5,O5=P5),N5,IF(N5=O5,N5,IF(N5=P5,N5,IF(O5=P5,O5,"판정 불능")))))</f>
        <v/>
      </c>
      <c r="X5" s="2">
        <f>IF(COUNTA(N5:P5)&lt;3,"",IF(AND(N5=O5,O5=P5),"3/3",IF(OR(N5=O5,N5=P5,O5=P5),"2/3","0/3")))</f>
        <v/>
      </c>
    </row>
    <row r="6">
      <c r="A6" s="2" t="n">
        <v>5</v>
      </c>
      <c r="B6" s="2" t="inlineStr">
        <is>
          <t>W7140135941</t>
        </is>
      </c>
      <c r="C6" s="2" t="inlineStr">
        <is>
          <t>Knowing When to Abstain: Medical LLMs Under Clinical Uncertainty</t>
        </is>
      </c>
      <c r="D6" s="2" t="inlineStr">
        <is>
          <t>MedAbstain: accuracy, distractor + abstain</t>
        </is>
      </c>
      <c r="E6" s="2" t="n">
        <v>0.3688</v>
      </c>
      <c r="F6" s="2" t="n">
        <v>0.3603</v>
      </c>
      <c r="G6" s="2" t="n">
        <v>0.325</v>
      </c>
      <c r="H6" s="2" t="n">
        <v>0.396</v>
      </c>
      <c r="I6" s="2" t="inlineStr">
        <is>
          <t>x100</t>
        </is>
      </c>
      <c r="J6" s="2" t="inlineStr">
        <is>
          <t>부분 생존 (partial)</t>
        </is>
      </c>
      <c r="K6" s="2" t="inlineStr"/>
      <c r="L6" s="2" t="inlineStr">
        <is>
          <t>runs/W7140135941/run_meta.json</t>
        </is>
      </c>
      <c r="M6" s="2" t="inlineStr"/>
      <c r="N6" s="3" t="n"/>
      <c r="O6" s="3" t="n"/>
      <c r="P6" s="3" t="n"/>
      <c r="Q6" s="3" t="n"/>
      <c r="R6" s="3" t="n"/>
      <c r="S6" s="3" t="n"/>
      <c r="T6" s="3" t="n"/>
      <c r="U6" s="3" t="n"/>
      <c r="V6" s="3" t="n"/>
      <c r="W6" s="2">
        <f>IF(COUNTA(N6:P6)&lt;3,"",IF(AND(N6=O6,O6=P6),N6,IF(N6=O6,N6,IF(N6=P6,N6,IF(O6=P6,O6,"판정 불능")))))</f>
        <v/>
      </c>
      <c r="X6" s="2">
        <f>IF(COUNTA(N6:P6)&lt;3,"",IF(AND(N6=O6,O6=P6),"3/3",IF(OR(N6=O6,N6=P6,O6=P6),"2/3","0/3")))</f>
        <v/>
      </c>
    </row>
    <row r="7">
      <c r="A7" s="2" t="n">
        <v>6</v>
      </c>
      <c r="B7" s="2" t="inlineStr">
        <is>
          <t>W7140135941</t>
        </is>
      </c>
      <c r="C7" s="2" t="inlineStr">
        <is>
          <t>Knowing When to Abstain: Medical LLMs Under Clinical Uncertainty</t>
        </is>
      </c>
      <c r="D7" s="2" t="inlineStr">
        <is>
          <t>MedAbstain: abstention rate (abstain option)</t>
        </is>
      </c>
      <c r="E7" s="2" t="n">
        <v>0</v>
      </c>
      <c r="F7" s="2" t="n">
        <v>0.025</v>
      </c>
      <c r="G7" s="2" t="n"/>
      <c r="H7" s="2" t="n"/>
      <c r="I7" s="2" t="inlineStr">
        <is>
          <t>x100</t>
        </is>
      </c>
      <c r="J7" s="2" t="inlineStr">
        <is>
          <t>부분 생존 (partial)</t>
        </is>
      </c>
      <c r="K7" s="2" t="inlineStr"/>
      <c r="L7" s="2" t="inlineStr">
        <is>
          <t>runs/W7140135941/run_meta.json</t>
        </is>
      </c>
      <c r="M7" s="2" t="inlineStr"/>
      <c r="N7" s="3" t="n"/>
      <c r="O7" s="3" t="n"/>
      <c r="P7" s="3" t="n"/>
      <c r="Q7" s="3" t="n"/>
      <c r="R7" s="3" t="n"/>
      <c r="S7" s="3" t="n"/>
      <c r="T7" s="3" t="n"/>
      <c r="U7" s="3" t="n"/>
      <c r="V7" s="3" t="n"/>
      <c r="W7" s="2">
        <f>IF(COUNTA(N7:P7)&lt;3,"",IF(AND(N7=O7,O7=P7),N7,IF(N7=O7,N7,IF(N7=P7,N7,IF(O7=P7,O7,"판정 불능")))))</f>
        <v/>
      </c>
      <c r="X7" s="2">
        <f>IF(COUNTA(N7:P7)&lt;3,"",IF(AND(N7=O7,O7=P7),"3/3",IF(OR(N7=O7,N7=P7,O7=P7),"2/3","0/3")))</f>
        <v/>
      </c>
    </row>
    <row r="8">
      <c r="A8" s="2" t="n">
        <v>7</v>
      </c>
      <c r="B8" s="2" t="inlineStr">
        <is>
          <t>W4362598103</t>
        </is>
      </c>
      <c r="C8" s="2" t="inlineStr">
        <is>
          <t>Accuracy and Political Bias of News Source Credibility Ratings by Large Language Models</t>
        </is>
      </c>
      <c r="D8" s="2" t="inlineStr">
        <is>
          <t>News credibility: Spearman rho x100 vs expert ratings</t>
        </is>
      </c>
      <c r="E8" s="2" t="n">
        <v>0.62418425191157</v>
      </c>
      <c r="F8" s="2" t="n">
        <v>0.6294006060439428</v>
      </c>
      <c r="G8" s="2" t="n">
        <v>0.6097127453036062</v>
      </c>
      <c r="H8" s="2" t="n">
        <v>0.6482506154734634</v>
      </c>
      <c r="I8" s="2" t="inlineStr">
        <is>
          <t>x100</t>
        </is>
      </c>
      <c r="J8" s="2" t="inlineStr">
        <is>
          <t>부분 생존 (partial)</t>
        </is>
      </c>
      <c r="K8" s="2" t="inlineStr"/>
      <c r="L8" s="2" t="inlineStr">
        <is>
          <t>runs/W4362598103/run_meta.json</t>
        </is>
      </c>
      <c r="M8" s="2" t="inlineStr"/>
      <c r="N8" s="3" t="n"/>
      <c r="O8" s="3" t="n"/>
      <c r="P8" s="3" t="n"/>
      <c r="Q8" s="3" t="n"/>
      <c r="R8" s="3" t="n"/>
      <c r="S8" s="3" t="n"/>
      <c r="T8" s="3" t="n"/>
      <c r="U8" s="3" t="n"/>
      <c r="V8" s="3" t="n"/>
      <c r="W8" s="2">
        <f>IF(COUNTA(N8:P8)&lt;3,"",IF(AND(N8=O8,O8=P8),N8,IF(N8=O8,N8,IF(N8=P8,N8,IF(O8=P8,O8,"판정 불능")))))</f>
        <v/>
      </c>
      <c r="X8" s="2">
        <f>IF(COUNTA(N8:P8)&lt;3,"",IF(AND(N8=O8,O8=P8),"3/3",IF(OR(N8=O8,N8=P8,O8=P8),"2/3","0/3")))</f>
        <v/>
      </c>
    </row>
    <row r="9">
      <c r="A9" s="2" t="n">
        <v>8</v>
      </c>
      <c r="B9" s="2" t="inlineStr">
        <is>
          <t>W4362598103</t>
        </is>
      </c>
      <c r="C9" s="2" t="inlineStr">
        <is>
          <t>Accuracy and Political Bias of News Source Credibility Ratings by Large Language Models</t>
        </is>
      </c>
      <c r="D9" s="2" t="inlineStr">
        <is>
          <t>News credibility: refusal share</t>
        </is>
      </c>
      <c r="E9" s="2" t="n">
        <v>0.412202578758474</v>
      </c>
      <c r="F9" s="2" t="n">
        <v>0.3542940707258708</v>
      </c>
      <c r="G9" s="2" t="n"/>
      <c r="H9" s="2" t="n"/>
      <c r="I9" s="2" t="inlineStr">
        <is>
          <t>x100</t>
        </is>
      </c>
      <c r="J9" s="2" t="inlineStr">
        <is>
          <t>부분 생존 (partial)</t>
        </is>
      </c>
      <c r="K9" s="2" t="inlineStr"/>
      <c r="L9" s="2" t="inlineStr">
        <is>
          <t>runs/W4362598103/run_meta.json</t>
        </is>
      </c>
      <c r="M9" s="2" t="inlineStr"/>
      <c r="N9" s="3" t="n"/>
      <c r="O9" s="3" t="n"/>
      <c r="P9" s="3" t="n"/>
      <c r="Q9" s="3" t="n"/>
      <c r="R9" s="3" t="n"/>
      <c r="S9" s="3" t="n"/>
      <c r="T9" s="3" t="n"/>
      <c r="U9" s="3" t="n"/>
      <c r="V9" s="3" t="n"/>
      <c r="W9" s="2">
        <f>IF(COUNTA(N9:P9)&lt;3,"",IF(AND(N9=O9,O9=P9),N9,IF(N9=O9,N9,IF(N9=P9,N9,IF(O9=P9,O9,"판정 불능")))))</f>
        <v/>
      </c>
      <c r="X9" s="2">
        <f>IF(COUNTA(N9:P9)&lt;3,"",IF(AND(N9=O9,O9=P9),"3/3",IF(OR(N9=O9,N9=P9,O9=P9),"2/3","0/3")))</f>
        <v/>
      </c>
    </row>
    <row r="10">
      <c r="A10" s="2" t="n">
        <v>9</v>
      </c>
      <c r="B10" s="2" t="inlineStr">
        <is>
          <t>W7144391134</t>
        </is>
      </c>
      <c r="C10" s="2" t="inlineStr">
        <is>
          <t>In-Context Molecular Property Prediction with LLMs: A Blinding Study on Memorization and K</t>
        </is>
      </c>
      <c r="D10" s="2" t="inlineStr">
        <is>
          <t>BlindingLLMs: Pearson r x100, 1000-shot</t>
        </is>
      </c>
      <c r="E10" s="2" t="n">
        <v>75.59999999999999</v>
      </c>
      <c r="F10" s="2" t="n">
        <v>76.59999999999999</v>
      </c>
      <c r="G10" s="2" t="n">
        <v>69.2</v>
      </c>
      <c r="H10" s="2" t="n">
        <v>82.8</v>
      </c>
      <c r="I10" s="2" t="inlineStr">
        <is>
          <t>pts</t>
        </is>
      </c>
      <c r="J10" s="2" t="inlineStr">
        <is>
          <t>생존 (survived)</t>
        </is>
      </c>
      <c r="K10" s="2" t="inlineStr"/>
      <c r="L10" s="2" t="inlineStr">
        <is>
          <t>runs/W7144391134/run_meta.json</t>
        </is>
      </c>
      <c r="M10" s="2" t="inlineStr"/>
      <c r="N10" s="3" t="n"/>
      <c r="O10" s="3" t="n"/>
      <c r="P10" s="3" t="n"/>
      <c r="Q10" s="3" t="n"/>
      <c r="R10" s="3" t="n"/>
      <c r="S10" s="3" t="n"/>
      <c r="T10" s="3" t="n"/>
      <c r="U10" s="3" t="n"/>
      <c r="V10" s="3" t="n"/>
      <c r="W10" s="2">
        <f>IF(COUNTA(N10:P10)&lt;3,"",IF(AND(N10=O10,O10=P10),N10,IF(N10=O10,N10,IF(N10=P10,N10,IF(O10=P10,O10,"판정 불능")))))</f>
        <v/>
      </c>
      <c r="X10" s="2">
        <f>IF(COUNTA(N10:P10)&lt;3,"",IF(AND(N10=O10,O10=P10),"3/3",IF(OR(N10=O10,N10=P10,O10=P10),"2/3","0/3")))</f>
        <v/>
      </c>
    </row>
    <row r="11">
      <c r="A11" s="2" t="n">
        <v>10</v>
      </c>
      <c r="B11" s="2" t="inlineStr">
        <is>
          <t>W7144391134</t>
        </is>
      </c>
      <c r="C11" s="2" t="inlineStr">
        <is>
          <t>In-Context Molecular Property Prediction with LLMs: A Blinding Study on Memorization and K</t>
        </is>
      </c>
      <c r="D11" s="2" t="inlineStr">
        <is>
          <t>BlindingLLMs: Pearson r x100, 60-shot</t>
        </is>
      </c>
      <c r="E11" s="2" t="n">
        <v>42.9</v>
      </c>
      <c r="F11" s="2" t="n">
        <v>37.6</v>
      </c>
      <c r="G11" s="2" t="n">
        <v>21.7</v>
      </c>
      <c r="H11" s="2" t="n">
        <v>52.2</v>
      </c>
      <c r="I11" s="2" t="inlineStr">
        <is>
          <t>pts</t>
        </is>
      </c>
      <c r="J11" s="2" t="inlineStr">
        <is>
          <t>생존 (survived)</t>
        </is>
      </c>
      <c r="K11" s="2" t="inlineStr"/>
      <c r="L11" s="2" t="inlineStr">
        <is>
          <t>runs/W7144391134/run_meta.json</t>
        </is>
      </c>
      <c r="M11" s="2" t="inlineStr"/>
      <c r="N11" s="3" t="n"/>
      <c r="O11" s="3" t="n"/>
      <c r="P11" s="3" t="n"/>
      <c r="Q11" s="3" t="n"/>
      <c r="R11" s="3" t="n"/>
      <c r="S11" s="3" t="n"/>
      <c r="T11" s="3" t="n"/>
      <c r="U11" s="3" t="n"/>
      <c r="V11" s="3" t="n"/>
      <c r="W11" s="2">
        <f>IF(COUNTA(N11:P11)&lt;3,"",IF(AND(N11=O11,O11=P11),N11,IF(N11=O11,N11,IF(N11=P11,N11,IF(O11=P11,O11,"판정 불능")))))</f>
        <v/>
      </c>
      <c r="X11" s="2">
        <f>IF(COUNTA(N11:P11)&lt;3,"",IF(AND(N11=O11,O11=P11),"3/3",IF(OR(N11=O11,N11=P11,O11=P11),"2/3","0/3")))</f>
        <v/>
      </c>
    </row>
    <row r="12">
      <c r="A12" s="2" t="n">
        <v>11</v>
      </c>
      <c r="B12" s="2" t="inlineStr">
        <is>
          <t>W7144391134</t>
        </is>
      </c>
      <c r="C12" s="2" t="inlineStr">
        <is>
          <t>In-Context Molecular Property Prediction with LLMs: A Blinding Study on Memorization and K</t>
        </is>
      </c>
      <c r="D12" s="2" t="inlineStr">
        <is>
          <t>BlindingLLMs: Pearson r, 0-shot</t>
        </is>
      </c>
      <c r="E12" s="2" t="n">
        <v>0.407</v>
      </c>
      <c r="F12" s="2" t="n">
        <v>0.406</v>
      </c>
      <c r="G12" s="2" t="n"/>
      <c r="H12" s="2" t="n"/>
      <c r="I12" s="2" t="inlineStr">
        <is>
          <t>x100</t>
        </is>
      </c>
      <c r="J12" s="2" t="inlineStr">
        <is>
          <t>생존 (survived)</t>
        </is>
      </c>
      <c r="K12" s="2" t="inlineStr"/>
      <c r="L12" s="2" t="inlineStr">
        <is>
          <t>runs/W7144391134/run_meta.json</t>
        </is>
      </c>
      <c r="M12" s="2" t="inlineStr"/>
      <c r="N12" s="3" t="n"/>
      <c r="O12" s="3" t="n"/>
      <c r="P12" s="3" t="n"/>
      <c r="Q12" s="3" t="n"/>
      <c r="R12" s="3" t="n"/>
      <c r="S12" s="3" t="n"/>
      <c r="T12" s="3" t="n"/>
      <c r="U12" s="3" t="n"/>
      <c r="V12" s="3" t="n"/>
      <c r="W12" s="2">
        <f>IF(COUNTA(N12:P12)&lt;3,"",IF(AND(N12=O12,O12=P12),N12,IF(N12=O12,N12,IF(N12=P12,N12,IF(O12=P12,O12,"판정 불능")))))</f>
        <v/>
      </c>
      <c r="X12" s="2">
        <f>IF(COUNTA(N12:P12)&lt;3,"",IF(AND(N12=O12,O12=P12),"3/3",IF(OR(N12=O12,N12=P12,O12=P12),"2/3","0/3")))</f>
        <v/>
      </c>
    </row>
    <row r="13">
      <c r="A13" s="2" t="n">
        <v>12</v>
      </c>
      <c r="B13" s="2" t="inlineStr">
        <is>
          <t>W4402565126</t>
        </is>
      </c>
      <c r="C13" s="2" t="inlineStr">
        <is>
          <t>Cultural bias and cultural alignment of large language models</t>
        </is>
      </c>
      <c r="D13" s="2" t="inlineStr">
        <is>
          <t>Cultural bias: distance reduction (107 countries)</t>
        </is>
      </c>
      <c r="E13" s="2" t="n">
        <v>0.9341047340598979</v>
      </c>
      <c r="F13" s="2" t="n">
        <v>0.933069834475639</v>
      </c>
      <c r="G13" s="2" t="n">
        <v>0.7109273668504316</v>
      </c>
      <c r="H13" s="2" t="n">
        <v>1.140479134249561</v>
      </c>
      <c r="I13" s="2" t="inlineStr">
        <is>
          <t>other:distance</t>
        </is>
      </c>
      <c r="J13" s="2" t="inlineStr">
        <is>
          <t>생존 (survived)</t>
        </is>
      </c>
      <c r="K13" s="2" t="inlineStr"/>
      <c r="L13" s="2" t="inlineStr">
        <is>
          <t>runs/W4402565126/run_meta.json</t>
        </is>
      </c>
      <c r="M13" s="2" t="inlineStr"/>
      <c r="N13" s="3" t="n"/>
      <c r="O13" s="3" t="n"/>
      <c r="P13" s="3" t="n"/>
      <c r="Q13" s="3" t="n"/>
      <c r="R13" s="3" t="n"/>
      <c r="S13" s="3" t="n"/>
      <c r="T13" s="3" t="n"/>
      <c r="U13" s="3" t="n"/>
      <c r="V13" s="3" t="n"/>
      <c r="W13" s="2">
        <f>IF(COUNTA(N13:P13)&lt;3,"",IF(AND(N13=O13,O13=P13),N13,IF(N13=O13,N13,IF(N13=P13,N13,IF(O13=P13,O13,"판정 불능")))))</f>
        <v/>
      </c>
      <c r="X13" s="2">
        <f>IF(COUNTA(N13:P13)&lt;3,"",IF(AND(N13=O13,O13=P13),"3/3",IF(OR(N13=O13,N13=P13,O13=P13),"2/3","0/3")))</f>
        <v/>
      </c>
    </row>
    <row r="14">
      <c r="A14" s="2" t="n">
        <v>13</v>
      </c>
      <c r="B14" s="2" t="inlineStr">
        <is>
          <t>W4402565126</t>
        </is>
      </c>
      <c r="C14" s="2" t="inlineStr">
        <is>
          <t>Cultural bias and cultural alignment of large language models</t>
        </is>
      </c>
      <c r="D14" s="2" t="inlineStr">
        <is>
          <t>Cultural bias: share of countries improved</t>
        </is>
      </c>
      <c r="E14" s="2" t="n">
        <v>0.8130841121495327</v>
      </c>
      <c r="F14" s="2" t="n">
        <v>0.7850467289719626</v>
      </c>
      <c r="G14" s="2" t="n"/>
      <c r="H14" s="2" t="n"/>
      <c r="I14" s="2" t="inlineStr">
        <is>
          <t>x100</t>
        </is>
      </c>
      <c r="J14" s="2" t="inlineStr">
        <is>
          <t>생존 (survived)</t>
        </is>
      </c>
      <c r="K14" s="2" t="inlineStr"/>
      <c r="L14" s="2" t="inlineStr">
        <is>
          <t>runs/W4402565126/run_meta.json</t>
        </is>
      </c>
      <c r="M14" s="2" t="inlineStr"/>
      <c r="N14" s="3" t="n"/>
      <c r="O14" s="3" t="n"/>
      <c r="P14" s="3" t="n"/>
      <c r="Q14" s="3" t="n"/>
      <c r="R14" s="3" t="n"/>
      <c r="S14" s="3" t="n"/>
      <c r="T14" s="3" t="n"/>
      <c r="U14" s="3" t="n"/>
      <c r="V14" s="3" t="n"/>
      <c r="W14" s="2">
        <f>IF(COUNTA(N14:P14)&lt;3,"",IF(AND(N14=O14,O14=P14),N14,IF(N14=O14,N14,IF(N14=P14,N14,IF(O14=P14,O14,"판정 불능")))))</f>
        <v/>
      </c>
      <c r="X14" s="2">
        <f>IF(COUNTA(N14:P14)&lt;3,"",IF(AND(N14=O14,O14=P14),"3/3",IF(OR(N14=O14,N14=P14,O14=P14),"2/3","0/3")))</f>
        <v/>
      </c>
    </row>
    <row r="15">
      <c r="A15" s="2" t="n">
        <v>14</v>
      </c>
      <c r="B15" s="2" t="inlineStr">
        <is>
          <t>W4412887943</t>
        </is>
      </c>
      <c r="C15" s="2" t="inlineStr">
        <is>
          <t>MEDEC: A Benchmark for Medical Error Detection and Correction in Clinical Notes</t>
        </is>
      </c>
      <c r="D15" s="2" t="inlineStr">
        <is>
          <t>MEDEC: error flag accuracy (vs Table 2 GPT-4o)</t>
        </is>
      </c>
      <c r="E15" s="2" t="n">
        <v>0.6584</v>
      </c>
      <c r="F15" s="2" t="n">
        <v>0.5611</v>
      </c>
      <c r="G15" s="2" t="n">
        <v>0.5215</v>
      </c>
      <c r="H15" s="2" t="n">
        <v>0.5997</v>
      </c>
      <c r="I15" s="2" t="inlineStr">
        <is>
          <t>x100</t>
        </is>
      </c>
      <c r="J15" s="2" t="inlineStr">
        <is>
          <t>부분 생존 (partial) [subset: MS 597/925]</t>
        </is>
      </c>
      <c r="K15" s="2" t="inlineStr">
        <is>
          <t>MS subset 597/925; GPT-4o-mini row 0.6086</t>
        </is>
      </c>
      <c r="L15" s="2" t="inlineStr">
        <is>
          <t>runs/W4412887943/run_meta.json</t>
        </is>
      </c>
      <c r="M15" s="2" t="inlineStr"/>
      <c r="N15" s="3" t="n"/>
      <c r="O15" s="3" t="n"/>
      <c r="P15" s="3" t="n"/>
      <c r="Q15" s="3" t="n"/>
      <c r="R15" s="3" t="n"/>
      <c r="S15" s="3" t="n"/>
      <c r="T15" s="3" t="n"/>
      <c r="U15" s="3" t="n"/>
      <c r="V15" s="3" t="n"/>
      <c r="W15" s="2">
        <f>IF(COUNTA(N15:P15)&lt;3,"",IF(AND(N15=O15,O15=P15),N15,IF(N15=O15,N15,IF(N15=P15,N15,IF(O15=P15,O15,"판정 불능")))))</f>
        <v/>
      </c>
      <c r="X15" s="2">
        <f>IF(COUNTA(N15:P15)&lt;3,"",IF(AND(N15=O15,O15=P15),"3/3",IF(OR(N15=O15,N15=P15,O15=P15),"2/3","0/3")))</f>
        <v/>
      </c>
    </row>
    <row r="16">
      <c r="A16" s="2" t="n">
        <v>15</v>
      </c>
      <c r="B16" s="2" t="inlineStr">
        <is>
          <t>W4412887943</t>
        </is>
      </c>
      <c r="C16" s="2" t="inlineStr">
        <is>
          <t>MEDEC: A Benchmark for Medical Error Detection and Correction in Clinical Notes</t>
        </is>
      </c>
      <c r="D16" s="2" t="inlineStr">
        <is>
          <t>MEDEC: error sentence accuracy (vs Table 2 GPT-4o)</t>
        </is>
      </c>
      <c r="E16" s="2" t="n">
        <v>0.5665</v>
      </c>
      <c r="F16" s="2" t="n">
        <v>0.4606</v>
      </c>
      <c r="G16" s="2" t="n">
        <v>0.4204</v>
      </c>
      <c r="H16" s="2" t="n">
        <v>0.5003</v>
      </c>
      <c r="I16" s="2" t="inlineStr">
        <is>
          <t>x100</t>
        </is>
      </c>
      <c r="J16" s="2" t="inlineStr">
        <is>
          <t>부분 생존 (partial) [subset: MS 597/925]</t>
        </is>
      </c>
      <c r="K16" s="2" t="inlineStr">
        <is>
          <t>MS subset 597/925; GPT-4o-mini row 0.4757</t>
        </is>
      </c>
      <c r="L16" s="2" t="inlineStr">
        <is>
          <t>runs/W4412887943/run_meta.json</t>
        </is>
      </c>
      <c r="M16" s="2" t="inlineStr"/>
      <c r="N16" s="3" t="n"/>
      <c r="O16" s="3" t="n"/>
      <c r="P16" s="3" t="n"/>
      <c r="Q16" s="3" t="n"/>
      <c r="R16" s="3" t="n"/>
      <c r="S16" s="3" t="n"/>
      <c r="T16" s="3" t="n"/>
      <c r="U16" s="3" t="n"/>
      <c r="V16" s="3" t="n"/>
      <c r="W16" s="2">
        <f>IF(COUNTA(N16:P16)&lt;3,"",IF(AND(N16=O16,O16=P16),N16,IF(N16=O16,N16,IF(N16=P16,N16,IF(O16=P16,O16,"판정 불능")))))</f>
        <v/>
      </c>
      <c r="X16" s="2">
        <f>IF(COUNTA(N16:P16)&lt;3,"",IF(AND(N16=O16,O16=P16),"3/3",IF(OR(N16=O16,N16=P16,O16=P16),"2/3","0/3")))</f>
        <v/>
      </c>
    </row>
    <row r="17">
      <c r="A17" s="2" t="n">
        <v>16</v>
      </c>
      <c r="B17" s="2" t="inlineStr">
        <is>
          <t>W4412945732</t>
        </is>
      </c>
      <c r="C17" s="2" t="inlineStr">
        <is>
          <t>Pattern Recognition or Medical Knowledge? The Problem with Multiple-Choice Questions in Me</t>
        </is>
      </c>
      <c r="D17" s="2" t="inlineStr">
        <is>
          <t>Glianorex gpt-4o: accuracy, en gpt</t>
        </is>
      </c>
      <c r="E17" s="2" t="n">
        <v>0.74</v>
      </c>
      <c r="F17" s="2" t="n">
        <v>0.7576000000000001</v>
      </c>
      <c r="G17" s="2" t="n">
        <v>0.7058</v>
      </c>
      <c r="H17" s="2" t="n">
        <v>0.8068</v>
      </c>
      <c r="I17" s="2" t="inlineStr">
        <is>
          <t>x100</t>
        </is>
      </c>
      <c r="J17" s="2" t="inlineStr">
        <is>
          <t>생존 (survived)</t>
        </is>
      </c>
      <c r="K17" s="2" t="inlineStr"/>
      <c r="L17" s="2" t="inlineStr">
        <is>
          <t>runs/W4412945732/run_meta.json</t>
        </is>
      </c>
      <c r="M17" s="2" t="inlineStr"/>
      <c r="N17" s="3" t="n"/>
      <c r="O17" s="3" t="n"/>
      <c r="P17" s="3" t="n"/>
      <c r="Q17" s="3" t="n"/>
      <c r="R17" s="3" t="n"/>
      <c r="S17" s="3" t="n"/>
      <c r="T17" s="3" t="n"/>
      <c r="U17" s="3" t="n"/>
      <c r="V17" s="3" t="n"/>
      <c r="W17" s="2">
        <f>IF(COUNTA(N17:P17)&lt;3,"",IF(AND(N17=O17,O17=P17),N17,IF(N17=O17,N17,IF(N17=P17,N17,IF(O17=P17,O17,"판정 불능")))))</f>
        <v/>
      </c>
      <c r="X17" s="2">
        <f>IF(COUNTA(N17:P17)&lt;3,"",IF(AND(N17=O17,O17=P17),"3/3",IF(OR(N17=O17,N17=P17,O17=P17),"2/3","0/3")))</f>
        <v/>
      </c>
    </row>
    <row r="18">
      <c r="A18" s="2" t="n">
        <v>17</v>
      </c>
      <c r="B18" s="2" t="inlineStr">
        <is>
          <t>W4412945732</t>
        </is>
      </c>
      <c r="C18" s="2" t="inlineStr">
        <is>
          <t>Pattern Recognition or Medical Knowledge? The Problem with Multiple-Choice Questions in Me</t>
        </is>
      </c>
      <c r="D18" s="2" t="inlineStr">
        <is>
          <t>Glianorex gpt-4o: accuracy, en claude</t>
        </is>
      </c>
      <c r="E18" s="2" t="n">
        <v>0.72</v>
      </c>
      <c r="F18" s="2" t="n">
        <v>0.7232</v>
      </c>
      <c r="G18" s="2" t="n">
        <v>0.6637</v>
      </c>
      <c r="H18" s="2" t="n">
        <v>0.7812</v>
      </c>
      <c r="I18" s="2" t="inlineStr">
        <is>
          <t>x100</t>
        </is>
      </c>
      <c r="J18" s="2" t="inlineStr">
        <is>
          <t>생존 (survived)</t>
        </is>
      </c>
      <c r="K18" s="2" t="inlineStr"/>
      <c r="L18" s="2" t="inlineStr">
        <is>
          <t>runs/W4412945732/run_meta.json</t>
        </is>
      </c>
      <c r="M18" s="2" t="inlineStr"/>
      <c r="N18" s="3" t="n"/>
      <c r="O18" s="3" t="n"/>
      <c r="P18" s="3" t="n"/>
      <c r="Q18" s="3" t="n"/>
      <c r="R18" s="3" t="n"/>
      <c r="S18" s="3" t="n"/>
      <c r="T18" s="3" t="n"/>
      <c r="U18" s="3" t="n"/>
      <c r="V18" s="3" t="n"/>
      <c r="W18" s="2">
        <f>IF(COUNTA(N18:P18)&lt;3,"",IF(AND(N18=O18,O18=P18),N18,IF(N18=O18,N18,IF(N18=P18,N18,IF(O18=P18,O18,"판정 불능")))))</f>
        <v/>
      </c>
      <c r="X18" s="2">
        <f>IF(COUNTA(N18:P18)&lt;3,"",IF(AND(N18=O18,O18=P18),"3/3",IF(OR(N18=O18,N18=P18,O18=P18),"2/3","0/3")))</f>
        <v/>
      </c>
    </row>
    <row r="19">
      <c r="A19" s="2" t="n">
        <v>18</v>
      </c>
      <c r="B19" s="2" t="inlineStr">
        <is>
          <t>W4412945732</t>
        </is>
      </c>
      <c r="C19" s="2" t="inlineStr">
        <is>
          <t>Pattern Recognition or Medical Knowledge? The Problem with Multiple-Choice Questions in Me</t>
        </is>
      </c>
      <c r="D19" s="2" t="inlineStr">
        <is>
          <t>Glianorex gpt-4o: accuracy, fr gpt</t>
        </is>
      </c>
      <c r="E19" s="2" t="n">
        <v>0.6899999999999999</v>
      </c>
      <c r="F19" s="2" t="n">
        <v>0.7083</v>
      </c>
      <c r="G19" s="2" t="n">
        <v>0.649</v>
      </c>
      <c r="H19" s="2" t="n">
        <v>0.7551</v>
      </c>
      <c r="I19" s="2" t="inlineStr">
        <is>
          <t>x100</t>
        </is>
      </c>
      <c r="J19" s="2" t="inlineStr">
        <is>
          <t>생존 (survived)</t>
        </is>
      </c>
      <c r="K19" s="2" t="inlineStr"/>
      <c r="L19" s="2" t="inlineStr">
        <is>
          <t>runs/W4412945732/run_meta.json</t>
        </is>
      </c>
      <c r="M19" s="2" t="inlineStr"/>
      <c r="N19" s="3" t="n"/>
      <c r="O19" s="3" t="n"/>
      <c r="P19" s="3" t="n"/>
      <c r="Q19" s="3" t="n"/>
      <c r="R19" s="3" t="n"/>
      <c r="S19" s="3" t="n"/>
      <c r="T19" s="3" t="n"/>
      <c r="U19" s="3" t="n"/>
      <c r="V19" s="3" t="n"/>
      <c r="W19" s="2">
        <f>IF(COUNTA(N19:P19)&lt;3,"",IF(AND(N19=O19,O19=P19),N19,IF(N19=O19,N19,IF(N19=P19,N19,IF(O19=P19,O19,"판정 불능")))))</f>
        <v/>
      </c>
      <c r="X19" s="2">
        <f>IF(COUNTA(N19:P19)&lt;3,"",IF(AND(N19=O19,O19=P19),"3/3",IF(OR(N19=O19,N19=P19,O19=P19),"2/3","0/3")))</f>
        <v/>
      </c>
    </row>
    <row r="20">
      <c r="A20" s="2" t="n">
        <v>19</v>
      </c>
      <c r="B20" s="2" t="inlineStr">
        <is>
          <t>W4412945732</t>
        </is>
      </c>
      <c r="C20" s="2" t="inlineStr">
        <is>
          <t>Pattern Recognition or Medical Knowledge? The Problem with Multiple-Choice Questions in Me</t>
        </is>
      </c>
      <c r="D20" s="2" t="inlineStr">
        <is>
          <t>Glianorex gpt-4o: accuracy, fr claude</t>
        </is>
      </c>
      <c r="E20" s="2" t="n">
        <v>0.71</v>
      </c>
      <c r="F20" s="2" t="n">
        <v>0.7188</v>
      </c>
      <c r="G20" s="2" t="n">
        <v>0.6592</v>
      </c>
      <c r="H20" s="2" t="n">
        <v>0.7769</v>
      </c>
      <c r="I20" s="2" t="inlineStr">
        <is>
          <t>x100</t>
        </is>
      </c>
      <c r="J20" s="2" t="inlineStr">
        <is>
          <t>생존 (survived)</t>
        </is>
      </c>
      <c r="K20" s="2" t="inlineStr"/>
      <c r="L20" s="2" t="inlineStr">
        <is>
          <t>runs/W4412945732/run_meta.json</t>
        </is>
      </c>
      <c r="M20" s="2" t="inlineStr"/>
      <c r="N20" s="3" t="n"/>
      <c r="O20" s="3" t="n"/>
      <c r="P20" s="3" t="n"/>
      <c r="Q20" s="3" t="n"/>
      <c r="R20" s="3" t="n"/>
      <c r="S20" s="3" t="n"/>
      <c r="T20" s="3" t="n"/>
      <c r="U20" s="3" t="n"/>
      <c r="V20" s="3" t="n"/>
      <c r="W20" s="2">
        <f>IF(COUNTA(N20:P20)&lt;3,"",IF(AND(N20=O20,O20=P20),N20,IF(N20=O20,N20,IF(N20=P20,N20,IF(O20=P20,O20,"판정 불능")))))</f>
        <v/>
      </c>
      <c r="X20" s="2">
        <f>IF(COUNTA(N20:P20)&lt;3,"",IF(AND(N20=O20,O20=P20),"3/3",IF(OR(N20=O20,N20=P20,O20=P20),"2/3","0/3")))</f>
        <v/>
      </c>
    </row>
    <row r="21">
      <c r="A21" s="2" t="n">
        <v>20</v>
      </c>
      <c r="B21" s="2" t="inlineStr">
        <is>
          <t>W4412945732</t>
        </is>
      </c>
      <c r="C21" s="2" t="inlineStr">
        <is>
          <t>Pattern Recognition or Medical Knowledge? The Problem with Multiple-Choice Questions in Me</t>
        </is>
      </c>
      <c r="D21" s="2" t="inlineStr">
        <is>
          <t>Glianorex gpt-4-turbo: accuracy, en gpt</t>
        </is>
      </c>
      <c r="E21" s="2" t="n">
        <v>0.65</v>
      </c>
      <c r="F21" s="2" t="n">
        <v>0.6591</v>
      </c>
      <c r="G21" s="2" t="n">
        <v>0.6048</v>
      </c>
      <c r="H21" s="2" t="n">
        <v>0.7171999999999999</v>
      </c>
      <c r="I21" s="2" t="inlineStr">
        <is>
          <t>x100</t>
        </is>
      </c>
      <c r="J21" s="2" t="inlineStr">
        <is>
          <t>생존 (survived)</t>
        </is>
      </c>
      <c r="K21" s="2" t="inlineStr"/>
      <c r="L21" s="2" t="inlineStr">
        <is>
          <t>runs/W4412945732/run_meta.json</t>
        </is>
      </c>
      <c r="M21" s="2" t="inlineStr"/>
      <c r="N21" s="3" t="n"/>
      <c r="O21" s="3" t="n"/>
      <c r="P21" s="3" t="n"/>
      <c r="Q21" s="3" t="n"/>
      <c r="R21" s="3" t="n"/>
      <c r="S21" s="3" t="n"/>
      <c r="T21" s="3" t="n"/>
      <c r="U21" s="3" t="n"/>
      <c r="V21" s="3" t="n"/>
      <c r="W21" s="2">
        <f>IF(COUNTA(N21:P21)&lt;3,"",IF(AND(N21=O21,O21=P21),N21,IF(N21=O21,N21,IF(N21=P21,N21,IF(O21=P21,O21,"판정 불능")))))</f>
        <v/>
      </c>
      <c r="X21" s="2">
        <f>IF(COUNTA(N21:P21)&lt;3,"",IF(AND(N21=O21,O21=P21),"3/3",IF(OR(N21=O21,N21=P21,O21=P21),"2/3","0/3")))</f>
        <v/>
      </c>
    </row>
    <row r="22">
      <c r="A22" s="2" t="n">
        <v>21</v>
      </c>
      <c r="B22" s="2" t="inlineStr">
        <is>
          <t>W4412945732</t>
        </is>
      </c>
      <c r="C22" s="2" t="inlineStr">
        <is>
          <t>Pattern Recognition or Medical Knowledge? The Problem with Multiple-Choice Questions in Me</t>
        </is>
      </c>
      <c r="D22" s="2" t="inlineStr">
        <is>
          <t>Glianorex gpt-4-turbo: accuracy, en claude</t>
        </is>
      </c>
      <c r="E22" s="2" t="n">
        <v>0.6899999999999999</v>
      </c>
      <c r="F22" s="2" t="n">
        <v>0.6919999999999999</v>
      </c>
      <c r="G22" s="2" t="n">
        <v>0.6279</v>
      </c>
      <c r="H22" s="2" t="n">
        <v>0.7485000000000001</v>
      </c>
      <c r="I22" s="2" t="inlineStr">
        <is>
          <t>x100</t>
        </is>
      </c>
      <c r="J22" s="2" t="inlineStr">
        <is>
          <t>생존 (survived)</t>
        </is>
      </c>
      <c r="K22" s="2" t="inlineStr"/>
      <c r="L22" s="2" t="inlineStr">
        <is>
          <t>runs/W4412945732/run_meta.json</t>
        </is>
      </c>
      <c r="M22" s="2" t="inlineStr"/>
      <c r="N22" s="3" t="n"/>
      <c r="O22" s="3" t="n"/>
      <c r="P22" s="3" t="n"/>
      <c r="Q22" s="3" t="n"/>
      <c r="R22" s="3" t="n"/>
      <c r="S22" s="3" t="n"/>
      <c r="T22" s="3" t="n"/>
      <c r="U22" s="3" t="n"/>
      <c r="V22" s="3" t="n"/>
      <c r="W22" s="2">
        <f>IF(COUNTA(N22:P22)&lt;3,"",IF(AND(N22=O22,O22=P22),N22,IF(N22=O22,N22,IF(N22=P22,N22,IF(O22=P22,O22,"판정 불능")))))</f>
        <v/>
      </c>
      <c r="X22" s="2">
        <f>IF(COUNTA(N22:P22)&lt;3,"",IF(AND(N22=O22,O22=P22),"3/3",IF(OR(N22=O22,N22=P22,O22=P22),"2/3","0/3")))</f>
        <v/>
      </c>
    </row>
    <row r="23">
      <c r="A23" s="2" t="n">
        <v>22</v>
      </c>
      <c r="B23" s="2" t="inlineStr">
        <is>
          <t>W4412945732</t>
        </is>
      </c>
      <c r="C23" s="2" t="inlineStr">
        <is>
          <t>Pattern Recognition or Medical Knowledge? The Problem with Multiple-Choice Questions in Me</t>
        </is>
      </c>
      <c r="D23" s="2" t="inlineStr">
        <is>
          <t>Glianorex gpt-4-turbo: accuracy, fr gpt</t>
        </is>
      </c>
      <c r="E23" s="2" t="n">
        <v>0.68</v>
      </c>
      <c r="F23" s="2" t="n">
        <v>0.6591</v>
      </c>
      <c r="G23" s="2" t="n">
        <v>0.596</v>
      </c>
      <c r="H23" s="2" t="n">
        <v>0.7121</v>
      </c>
      <c r="I23" s="2" t="inlineStr">
        <is>
          <t>x100</t>
        </is>
      </c>
      <c r="J23" s="2" t="inlineStr">
        <is>
          <t>생존 (survived)</t>
        </is>
      </c>
      <c r="K23" s="2" t="inlineStr"/>
      <c r="L23" s="2" t="inlineStr">
        <is>
          <t>runs/W4412945732/run_meta.json</t>
        </is>
      </c>
      <c r="M23" s="2" t="inlineStr"/>
      <c r="N23" s="3" t="n"/>
      <c r="O23" s="3" t="n"/>
      <c r="P23" s="3" t="n"/>
      <c r="Q23" s="3" t="n"/>
      <c r="R23" s="3" t="n"/>
      <c r="S23" s="3" t="n"/>
      <c r="T23" s="3" t="n"/>
      <c r="U23" s="3" t="n"/>
      <c r="V23" s="3" t="n"/>
      <c r="W23" s="2">
        <f>IF(COUNTA(N23:P23)&lt;3,"",IF(AND(N23=O23,O23=P23),N23,IF(N23=O23,N23,IF(N23=P23,N23,IF(O23=P23,O23,"판정 불능")))))</f>
        <v/>
      </c>
      <c r="X23" s="2">
        <f>IF(COUNTA(N23:P23)&lt;3,"",IF(AND(N23=O23,O23=P23),"3/3",IF(OR(N23=O23,N23=P23,O23=P23),"2/3","0/3")))</f>
        <v/>
      </c>
    </row>
    <row r="24">
      <c r="A24" s="2" t="n">
        <v>23</v>
      </c>
      <c r="B24" s="2" t="inlineStr">
        <is>
          <t>W4412945732</t>
        </is>
      </c>
      <c r="C24" s="2" t="inlineStr">
        <is>
          <t>Pattern Recognition or Medical Knowledge? The Problem with Multiple-Choice Questions in Me</t>
        </is>
      </c>
      <c r="D24" s="2" t="inlineStr">
        <is>
          <t>Glianorex gpt-4-turbo: accuracy, fr claude</t>
        </is>
      </c>
      <c r="E24" s="2" t="n">
        <v>0.68</v>
      </c>
      <c r="F24" s="2" t="n">
        <v>0.6741</v>
      </c>
      <c r="G24" s="2" t="n">
        <v>0.6131</v>
      </c>
      <c r="H24" s="2" t="n">
        <v>0.7336</v>
      </c>
      <c r="I24" s="2" t="inlineStr">
        <is>
          <t>x100</t>
        </is>
      </c>
      <c r="J24" s="2" t="inlineStr">
        <is>
          <t>생존 (survived)</t>
        </is>
      </c>
      <c r="K24" s="2" t="inlineStr"/>
      <c r="L24" s="2" t="inlineStr">
        <is>
          <t>runs/W4412945732/run_meta.json</t>
        </is>
      </c>
      <c r="M24" s="2" t="inlineStr"/>
      <c r="N24" s="3" t="n"/>
      <c r="O24" s="3" t="n"/>
      <c r="P24" s="3" t="n"/>
      <c r="Q24" s="3" t="n"/>
      <c r="R24" s="3" t="n"/>
      <c r="S24" s="3" t="n"/>
      <c r="T24" s="3" t="n"/>
      <c r="U24" s="3" t="n"/>
      <c r="V24" s="3" t="n"/>
      <c r="W24" s="2">
        <f>IF(COUNTA(N24:P24)&lt;3,"",IF(AND(N24=O24,O24=P24),N24,IF(N24=O24,N24,IF(N24=P24,N24,IF(O24=P24,O24,"판정 불능")))))</f>
        <v/>
      </c>
      <c r="X24" s="2">
        <f>IF(COUNTA(N24:P24)&lt;3,"",IF(AND(N24=O24,O24=P24),"3/3",IF(OR(N24=O24,N24=P24,O24=P24),"2/3","0/3")))</f>
        <v/>
      </c>
    </row>
    <row r="25">
      <c r="A25" s="2" t="n">
        <v>24</v>
      </c>
      <c r="B25" s="2" t="inlineStr">
        <is>
          <t>W4396768794</t>
        </is>
      </c>
      <c r="C25" s="2" t="inlineStr">
        <is>
          <t>Assessing DxGPT: Diagnosing Rare Diseases with Various Large Language Models</t>
        </is>
      </c>
      <c r="D25" s="2" t="inlineStr">
        <is>
          <t>DxGPT: strict top-1 (new vs archived diagnoses, same judge)</t>
        </is>
      </c>
      <c r="E25" s="2" t="n">
        <v>58.5</v>
      </c>
      <c r="F25" s="2" t="n">
        <v>57</v>
      </c>
      <c r="G25" s="2" t="n">
        <v>51</v>
      </c>
      <c r="H25" s="2" t="n">
        <v>64</v>
      </c>
      <c r="I25" s="2" t="inlineStr">
        <is>
          <t>pts</t>
        </is>
      </c>
      <c r="J25" s="2" t="inlineStr">
        <is>
          <t>생존 (survival)</t>
        </is>
      </c>
      <c r="K25" s="2" t="inlineStr">
        <is>
          <t>judge-matched comparison; Table 3 with the original judge 54.0</t>
        </is>
      </c>
      <c r="L25" s="2" t="inlineStr">
        <is>
          <t>runs/W4396768794/run_meta.json</t>
        </is>
      </c>
      <c r="M25" s="2" t="inlineStr"/>
      <c r="N25" s="3" t="n"/>
      <c r="O25" s="3" t="n"/>
      <c r="P25" s="3" t="n"/>
      <c r="Q25" s="3" t="n"/>
      <c r="R25" s="3" t="n"/>
      <c r="S25" s="3" t="n"/>
      <c r="T25" s="3" t="n"/>
      <c r="U25" s="3" t="n"/>
      <c r="V25" s="3" t="n"/>
      <c r="W25" s="2">
        <f>IF(COUNTA(N25:P25)&lt;3,"",IF(AND(N25=O25,O25=P25),N25,IF(N25=O25,N25,IF(N25=P25,N25,IF(O25=P25,O25,"판정 불능")))))</f>
        <v/>
      </c>
      <c r="X25" s="2">
        <f>IF(COUNTA(N25:P25)&lt;3,"",IF(AND(N25=O25,O25=P25),"3/3",IF(OR(N25=O25,N25=P25,O25=P25),"2/3","0/3")))</f>
        <v/>
      </c>
    </row>
    <row r="26">
      <c r="A26" s="2" t="n">
        <v>25</v>
      </c>
      <c r="B26" s="2" t="inlineStr">
        <is>
          <t>W4396768794</t>
        </is>
      </c>
      <c r="C26" s="2" t="inlineStr">
        <is>
          <t>Assessing DxGPT: Diagnosing Rare Diseases with Various Large Language Models</t>
        </is>
      </c>
      <c r="D26" s="2" t="inlineStr">
        <is>
          <t>DxGPT: top-5 (new vs archived diagnoses, same judge)</t>
        </is>
      </c>
      <c r="E26" s="2" t="n">
        <v>69</v>
      </c>
      <c r="F26" s="2" t="n">
        <v>69.5</v>
      </c>
      <c r="G26" s="2" t="n">
        <v>63.4875</v>
      </c>
      <c r="H26" s="2" t="n">
        <v>76</v>
      </c>
      <c r="I26" s="2" t="inlineStr">
        <is>
          <t>pts</t>
        </is>
      </c>
      <c r="J26" s="2" t="inlineStr">
        <is>
          <t>생존 (survival)</t>
        </is>
      </c>
      <c r="K26" s="2" t="inlineStr"/>
      <c r="L26" s="2" t="inlineStr">
        <is>
          <t>runs/W4396768794/run_meta.json</t>
        </is>
      </c>
      <c r="M26" s="2" t="inlineStr"/>
      <c r="N26" s="3" t="n"/>
      <c r="O26" s="3" t="n"/>
      <c r="P26" s="3" t="n"/>
      <c r="Q26" s="3" t="n"/>
      <c r="R26" s="3" t="n"/>
      <c r="S26" s="3" t="n"/>
      <c r="T26" s="3" t="n"/>
      <c r="U26" s="3" t="n"/>
      <c r="V26" s="3" t="n"/>
      <c r="W26" s="2">
        <f>IF(COUNTA(N26:P26)&lt;3,"",IF(AND(N26=O26,O26=P26),N26,IF(N26=O26,N26,IF(N26=P26,N26,IF(O26=P26,O26,"판정 불능")))))</f>
        <v/>
      </c>
      <c r="X26" s="2">
        <f>IF(COUNTA(N26:P26)&lt;3,"",IF(AND(N26=O26,O26=P26),"3/3",IF(OR(N26=O26,N26=P26,O26=P26),"2/3","0/3")))</f>
        <v/>
      </c>
    </row>
    <row r="27">
      <c r="A27" s="2" t="n">
        <v>26</v>
      </c>
      <c r="B27" s="2" t="inlineStr">
        <is>
          <t>W4405408496</t>
        </is>
      </c>
      <c r="C27" s="2" t="inlineStr">
        <is>
          <t>The Impact of Temperature on Extracting Information From Clinical Trial Publications Using</t>
        </is>
      </c>
      <c r="D27" s="2" t="inlineStr">
        <is>
          <t>Temperature study gpt-4o: formatted numeric answers, T=0.00</t>
        </is>
      </c>
      <c r="E27" s="2" t="n">
        <v>98.7</v>
      </c>
      <c r="F27" s="2" t="n">
        <v>98.39357429718876</v>
      </c>
      <c r="G27" s="2" t="n">
        <v>97.28915662650603</v>
      </c>
      <c r="H27" s="2" t="n">
        <v>98.99598393574297</v>
      </c>
      <c r="I27" s="2" t="inlineStr">
        <is>
          <t>pts</t>
        </is>
      </c>
      <c r="J27" s="2" t="inlineStr">
        <is>
          <t>생존 (survived)</t>
        </is>
      </c>
      <c r="K27" s="2" t="inlineStr">
        <is>
          <t>median over 3 pass(es)</t>
        </is>
      </c>
      <c r="L27" s="2" t="inlineStr">
        <is>
          <t>runs/W4405408496/run_meta.json</t>
        </is>
      </c>
      <c r="M27" s="2" t="inlineStr"/>
      <c r="N27" s="3" t="n"/>
      <c r="O27" s="3" t="n"/>
      <c r="P27" s="3" t="n"/>
      <c r="Q27" s="3" t="n"/>
      <c r="R27" s="3" t="n"/>
      <c r="S27" s="3" t="n"/>
      <c r="T27" s="3" t="n"/>
      <c r="U27" s="3" t="n"/>
      <c r="V27" s="3" t="n"/>
      <c r="W27" s="2">
        <f>IF(COUNTA(N27:P27)&lt;3,"",IF(AND(N27=O27,O27=P27),N27,IF(N27=O27,N27,IF(N27=P27,N27,IF(O27=P27,O27,"판정 불능")))))</f>
        <v/>
      </c>
      <c r="X27" s="2">
        <f>IF(COUNTA(N27:P27)&lt;3,"",IF(AND(N27=O27,O27=P27),"3/3",IF(OR(N27=O27,N27=P27,O27=P27),"2/3","0/3")))</f>
        <v/>
      </c>
    </row>
    <row r="28">
      <c r="A28" s="2" t="n">
        <v>27</v>
      </c>
      <c r="B28" s="2" t="inlineStr">
        <is>
          <t>W4405408496</t>
        </is>
      </c>
      <c r="C28" s="2" t="inlineStr">
        <is>
          <t>The Impact of Temperature on Extracting Information From Clinical Trial Publications Using</t>
        </is>
      </c>
      <c r="D28" s="2" t="inlineStr">
        <is>
          <t>Temperature study gpt-4o: formatted numeric answers, T=1.50</t>
        </is>
      </c>
      <c r="E28" s="2" t="n">
        <v>98.7</v>
      </c>
      <c r="F28" s="2" t="n">
        <v>97.89156626506023</v>
      </c>
      <c r="G28" s="2" t="n">
        <v>96.98544176706827</v>
      </c>
      <c r="H28" s="2" t="n">
        <v>98.69477911646585</v>
      </c>
      <c r="I28" s="2" t="inlineStr">
        <is>
          <t>pts</t>
        </is>
      </c>
      <c r="J28" s="2" t="inlineStr">
        <is>
          <t>생존 (survived)</t>
        </is>
      </c>
      <c r="K28" s="2" t="inlineStr">
        <is>
          <t>median over 1 pass(es)</t>
        </is>
      </c>
      <c r="L28" s="2" t="inlineStr">
        <is>
          <t>runs/W4405408496/run_meta.json</t>
        </is>
      </c>
      <c r="M28" s="2" t="inlineStr"/>
      <c r="N28" s="3" t="n"/>
      <c r="O28" s="3" t="n"/>
      <c r="P28" s="3" t="n"/>
      <c r="Q28" s="3" t="n"/>
      <c r="R28" s="3" t="n"/>
      <c r="S28" s="3" t="n"/>
      <c r="T28" s="3" t="n"/>
      <c r="U28" s="3" t="n"/>
      <c r="V28" s="3" t="n"/>
      <c r="W28" s="2">
        <f>IF(COUNTA(N28:P28)&lt;3,"",IF(AND(N28=O28,O28=P28),N28,IF(N28=O28,N28,IF(N28=P28,N28,IF(O28=P28,O28,"판정 불능")))))</f>
        <v/>
      </c>
      <c r="X28" s="2">
        <f>IF(COUNTA(N28:P28)&lt;3,"",IF(AND(N28=O28,O28=P28),"3/3",IF(OR(N28=O28,N28=P28,O28=P28),"2/3","0/3")))</f>
        <v/>
      </c>
    </row>
    <row r="29">
      <c r="A29" s="2" t="n">
        <v>28</v>
      </c>
      <c r="B29" s="2" t="inlineStr">
        <is>
          <t>W4405408496</t>
        </is>
      </c>
      <c r="C29" s="2" t="inlineStr">
        <is>
          <t>The Impact of Temperature on Extracting Information From Clinical Trial Publications Using</t>
        </is>
      </c>
      <c r="D29" s="2" t="inlineStr">
        <is>
          <t>Temperature study gpt-4o: formatted numeric answers, T=1.75</t>
        </is>
      </c>
      <c r="E29" s="2" t="n">
        <v>95.59999999999999</v>
      </c>
      <c r="F29" s="2" t="n">
        <v>96.285140562249</v>
      </c>
      <c r="G29" s="2" t="n">
        <v>95.08032128514057</v>
      </c>
      <c r="H29" s="2" t="n">
        <v>97.38955823293173</v>
      </c>
      <c r="I29" s="2" t="inlineStr">
        <is>
          <t>pts</t>
        </is>
      </c>
      <c r="J29" s="2" t="inlineStr">
        <is>
          <t>생존 (survived)</t>
        </is>
      </c>
      <c r="K29" s="2" t="inlineStr">
        <is>
          <t>median over 1 pass(es)</t>
        </is>
      </c>
      <c r="L29" s="2" t="inlineStr">
        <is>
          <t>runs/W4405408496/run_meta.json</t>
        </is>
      </c>
      <c r="M29" s="2" t="inlineStr"/>
      <c r="N29" s="3" t="n"/>
      <c r="O29" s="3" t="n"/>
      <c r="P29" s="3" t="n"/>
      <c r="Q29" s="3" t="n"/>
      <c r="R29" s="3" t="n"/>
      <c r="S29" s="3" t="n"/>
      <c r="T29" s="3" t="n"/>
      <c r="U29" s="3" t="n"/>
      <c r="V29" s="3" t="n"/>
      <c r="W29" s="2">
        <f>IF(COUNTA(N29:P29)&lt;3,"",IF(AND(N29=O29,O29=P29),N29,IF(N29=O29,N29,IF(N29=P29,N29,IF(O29=P29,O29,"판정 불능")))))</f>
        <v/>
      </c>
      <c r="X29" s="2">
        <f>IF(COUNTA(N29:P29)&lt;3,"",IF(AND(N29=O29,O29=P29),"3/3",IF(OR(N29=O29,N29=P29,O29=P29),"2/3","0/3")))</f>
        <v/>
      </c>
    </row>
    <row r="30">
      <c r="A30" s="2" t="n">
        <v>29</v>
      </c>
      <c r="B30" s="2" t="inlineStr">
        <is>
          <t>W4405408496</t>
        </is>
      </c>
      <c r="C30" s="2" t="inlineStr">
        <is>
          <t>The Impact of Temperature on Extracting Information From Clinical Trial Publications Using</t>
        </is>
      </c>
      <c r="D30" s="2" t="inlineStr">
        <is>
          <t>Temperature study gpt-4o: formatted numeric answers, T=2.00</t>
        </is>
      </c>
      <c r="E30" s="2" t="n">
        <v>89.2</v>
      </c>
      <c r="F30" s="2" t="n">
        <v>86.84738955823293</v>
      </c>
      <c r="G30" s="2" t="n">
        <v>84.73895582329317</v>
      </c>
      <c r="H30" s="2" t="n">
        <v>88.85542168674698</v>
      </c>
      <c r="I30" s="2" t="inlineStr">
        <is>
          <t>pts</t>
        </is>
      </c>
      <c r="J30" s="2" t="inlineStr">
        <is>
          <t>생존 (survived)</t>
        </is>
      </c>
      <c r="K30" s="2" t="inlineStr">
        <is>
          <t>median over 3 pass(es)</t>
        </is>
      </c>
      <c r="L30" s="2" t="inlineStr">
        <is>
          <t>runs/W4405408496/run_meta.json</t>
        </is>
      </c>
      <c r="M30" s="2" t="inlineStr"/>
      <c r="N30" s="3" t="n"/>
      <c r="O30" s="3" t="n"/>
      <c r="P30" s="3" t="n"/>
      <c r="Q30" s="3" t="n"/>
      <c r="R30" s="3" t="n"/>
      <c r="S30" s="3" t="n"/>
      <c r="T30" s="3" t="n"/>
      <c r="U30" s="3" t="n"/>
      <c r="V30" s="3" t="n"/>
      <c r="W30" s="2">
        <f>IF(COUNTA(N30:P30)&lt;3,"",IF(AND(N30=O30,O30=P30),N30,IF(N30=O30,N30,IF(N30=P30,N30,IF(O30=P30,O30,"판정 불능")))))</f>
        <v/>
      </c>
      <c r="X30" s="2">
        <f>IF(COUNTA(N30:P30)&lt;3,"",IF(AND(N30=O30,O30=P30),"3/3",IF(OR(N30=O30,N30=P30,O30=P30),"2/3","0/3")))</f>
        <v/>
      </c>
    </row>
    <row r="31">
      <c r="A31" s="2" t="n">
        <v>30</v>
      </c>
      <c r="B31" s="2" t="inlineStr">
        <is>
          <t>W4405408496</t>
        </is>
      </c>
      <c r="C31" s="2" t="inlineStr">
        <is>
          <t>The Impact of Temperature on Extracting Information From Clinical Trial Publications Using</t>
        </is>
      </c>
      <c r="D31" s="2" t="inlineStr">
        <is>
          <t>Temperature study gpt-4o: MAPE of formatted answers, T=0.00</t>
        </is>
      </c>
      <c r="E31" s="2" t="n">
        <v>1.7</v>
      </c>
      <c r="F31" s="2" t="n">
        <v>1.401226820593848</v>
      </c>
      <c r="G31" s="2" t="n">
        <v>0.8436038324242859</v>
      </c>
      <c r="H31" s="2" t="n">
        <v>2.100719648433817</v>
      </c>
      <c r="I31" s="2" t="inlineStr">
        <is>
          <t>pts</t>
        </is>
      </c>
      <c r="J31" s="2" t="inlineStr">
        <is>
          <t>생존 (survived)</t>
        </is>
      </c>
      <c r="K31" s="2" t="inlineStr"/>
      <c r="L31" s="2" t="inlineStr">
        <is>
          <t>runs/W4405408496/run_meta.json</t>
        </is>
      </c>
      <c r="M31" s="2" t="inlineStr"/>
      <c r="N31" s="3" t="n"/>
      <c r="O31" s="3" t="n"/>
      <c r="P31" s="3" t="n"/>
      <c r="Q31" s="3" t="n"/>
      <c r="R31" s="3" t="n"/>
      <c r="S31" s="3" t="n"/>
      <c r="T31" s="3" t="n"/>
      <c r="U31" s="3" t="n"/>
      <c r="V31" s="3" t="n"/>
      <c r="W31" s="2">
        <f>IF(COUNTA(N31:P31)&lt;3,"",IF(AND(N31=O31,O31=P31),N31,IF(N31=O31,N31,IF(N31=P31,N31,IF(O31=P31,O31,"판정 불능")))))</f>
        <v/>
      </c>
      <c r="X31" s="2">
        <f>IF(COUNTA(N31:P31)&lt;3,"",IF(AND(N31=O31,O31=P31),"3/3",IF(OR(N31=O31,N31=P31,O31=P31),"2/3","0/3")))</f>
        <v/>
      </c>
    </row>
    <row r="32">
      <c r="A32" s="2" t="n">
        <v>31</v>
      </c>
      <c r="B32" s="2" t="inlineStr">
        <is>
          <t>W4405408496</t>
        </is>
      </c>
      <c r="C32" s="2" t="inlineStr">
        <is>
          <t>The Impact of Temperature on Extracting Information From Clinical Trial Publications Using</t>
        </is>
      </c>
      <c r="D32" s="2" t="inlineStr">
        <is>
          <t>Temperature study gpt-4o: MAPE of formatted answers, T=2.00</t>
        </is>
      </c>
      <c r="E32" s="2" t="n">
        <v>1</v>
      </c>
      <c r="F32" s="2" t="n">
        <v>1.804749127215897</v>
      </c>
      <c r="G32" s="2" t="n">
        <v>0.8975495328730105</v>
      </c>
      <c r="H32" s="2" t="n">
        <v>4.221439568029343</v>
      </c>
      <c r="I32" s="2" t="inlineStr">
        <is>
          <t>pts</t>
        </is>
      </c>
      <c r="J32" s="2" t="inlineStr">
        <is>
          <t>생존 (survived)</t>
        </is>
      </c>
      <c r="K32" s="2" t="inlineStr"/>
      <c r="L32" s="2" t="inlineStr">
        <is>
          <t>runs/W4405408496/run_meta.json</t>
        </is>
      </c>
      <c r="M32" s="2" t="inlineStr"/>
      <c r="N32" s="3" t="n"/>
      <c r="O32" s="3" t="n"/>
      <c r="P32" s="3" t="n"/>
      <c r="Q32" s="3" t="n"/>
      <c r="R32" s="3" t="n"/>
      <c r="S32" s="3" t="n"/>
      <c r="T32" s="3" t="n"/>
      <c r="U32" s="3" t="n"/>
      <c r="V32" s="3" t="n"/>
      <c r="W32" s="2">
        <f>IF(COUNTA(N32:P32)&lt;3,"",IF(AND(N32=O32,O32=P32),N32,IF(N32=O32,N32,IF(N32=P32,N32,IF(O32=P32,O32,"판정 불능")))))</f>
        <v/>
      </c>
      <c r="X32" s="2">
        <f>IF(COUNTA(N32:P32)&lt;3,"",IF(AND(N32=O32,O32=P32),"3/3",IF(OR(N32=O32,N32=P32,O32=P32),"2/3","0/3")))</f>
        <v/>
      </c>
    </row>
    <row r="33">
      <c r="A33" s="2" t="n">
        <v>32</v>
      </c>
      <c r="B33" s="2" t="inlineStr">
        <is>
          <t>W4405408496</t>
        </is>
      </c>
      <c r="C33" s="2" t="inlineStr">
        <is>
          <t>The Impact of Temperature on Extracting Information From Clinical Trial Publications Using</t>
        </is>
      </c>
      <c r="D33" s="2" t="inlineStr">
        <is>
          <t>Temperature study gpt-4o-mini: formatted numeric answers, T=2.00</t>
        </is>
      </c>
      <c r="E33" s="2" t="n">
        <v>90.2</v>
      </c>
      <c r="F33" s="2" t="n">
        <v>90.16064257028113</v>
      </c>
      <c r="G33" s="2" t="n">
        <v>88.25301204819277</v>
      </c>
      <c r="H33" s="2" t="n">
        <v>91.86997991967871</v>
      </c>
      <c r="I33" s="2" t="inlineStr">
        <is>
          <t>pts</t>
        </is>
      </c>
      <c r="J33" s="2" t="inlineStr">
        <is>
          <t>생존 (survived)</t>
        </is>
      </c>
      <c r="K33" s="2" t="inlineStr"/>
      <c r="L33" s="2" t="inlineStr">
        <is>
          <t>runs/W4405408496/run_meta.json</t>
        </is>
      </c>
      <c r="M33" s="2" t="inlineStr"/>
      <c r="N33" s="3" t="n"/>
      <c r="O33" s="3" t="n"/>
      <c r="P33" s="3" t="n"/>
      <c r="Q33" s="3" t="n"/>
      <c r="R33" s="3" t="n"/>
      <c r="S33" s="3" t="n"/>
      <c r="T33" s="3" t="n"/>
      <c r="U33" s="3" t="n"/>
      <c r="V33" s="3" t="n"/>
      <c r="W33" s="2">
        <f>IF(COUNTA(N33:P33)&lt;3,"",IF(AND(N33=O33,O33=P33),N33,IF(N33=O33,N33,IF(N33=P33,N33,IF(O33=P33,O33,"판정 불능")))))</f>
        <v/>
      </c>
      <c r="X33" s="2">
        <f>IF(COUNTA(N33:P33)&lt;3,"",IF(AND(N33=O33,O33=P33),"3/3",IF(OR(N33=O33,N33=P33,O33=P33),"2/3","0/3")))</f>
        <v/>
      </c>
    </row>
    <row r="34">
      <c r="A34" s="2" t="n">
        <v>33</v>
      </c>
      <c r="B34" s="2" t="inlineStr">
        <is>
          <t>W4400435289</t>
        </is>
      </c>
      <c r="C34" s="2" t="inlineStr">
        <is>
          <t>Me, Myself, and AI: The Situational Awareness Dataset (SAD) for LLMs</t>
        </is>
      </c>
      <c r="D34" s="2" t="inlineStr">
        <is>
          <t>SAD-mini facts_human_defaults: accuracy</t>
        </is>
      </c>
      <c r="E34" s="2" t="n">
        <v>0.75</v>
      </c>
      <c r="F34" s="2" t="n">
        <v>0.7975</v>
      </c>
      <c r="G34" s="2" t="n">
        <v>0.774</v>
      </c>
      <c r="H34" s="2" t="n">
        <v>0.8199</v>
      </c>
      <c r="I34" s="2" t="inlineStr">
        <is>
          <t>x100</t>
        </is>
      </c>
      <c r="J34" s="2" t="inlineStr">
        <is>
          <t>생존 (survived)</t>
        </is>
      </c>
      <c r="K34" s="2" t="inlineStr">
        <is>
          <t>substitute snapshot gpt-4o-2024-05-13</t>
        </is>
      </c>
      <c r="L34" s="2" t="inlineStr">
        <is>
          <t>runs/W4400435289/run_meta.json</t>
        </is>
      </c>
      <c r="M34" s="2" t="inlineStr"/>
      <c r="N34" s="3" t="n"/>
      <c r="O34" s="3" t="n"/>
      <c r="P34" s="3" t="n"/>
      <c r="Q34" s="3" t="n"/>
      <c r="R34" s="3" t="n"/>
      <c r="S34" s="3" t="n"/>
      <c r="T34" s="3" t="n"/>
      <c r="U34" s="3" t="n"/>
      <c r="V34" s="3" t="n"/>
      <c r="W34" s="2">
        <f>IF(COUNTA(N34:P34)&lt;3,"",IF(AND(N34=O34,O34=P34),N34,IF(N34=O34,N34,IF(N34=P34,N34,IF(O34=P34,O34,"판정 불능")))))</f>
        <v/>
      </c>
      <c r="X34" s="2">
        <f>IF(COUNTA(N34:P34)&lt;3,"",IF(AND(N34=O34,O34=P34),"3/3",IF(OR(N34=O34,N34=P34,O34=P34),"2/3","0/3")))</f>
        <v/>
      </c>
    </row>
    <row r="35">
      <c r="A35" s="2" t="n">
        <v>34</v>
      </c>
      <c r="B35" s="2" t="inlineStr">
        <is>
          <t>W4400435289</t>
        </is>
      </c>
      <c r="C35" s="2" t="inlineStr">
        <is>
          <t>Me, Myself, and AI: The Situational Awareness Dataset (SAD) for LLMs</t>
        </is>
      </c>
      <c r="D35" s="2" t="inlineStr">
        <is>
          <t>SAD-mini facts_llms: accuracy</t>
        </is>
      </c>
      <c r="E35" s="2" t="n">
        <v>0.8915662650602409</v>
      </c>
      <c r="F35" s="2" t="n">
        <v>0.8755020080321285</v>
      </c>
      <c r="G35" s="2" t="n">
        <v>0.8353</v>
      </c>
      <c r="H35" s="2" t="n">
        <v>0.9157</v>
      </c>
      <c r="I35" s="2" t="inlineStr">
        <is>
          <t>x100</t>
        </is>
      </c>
      <c r="J35" s="2" t="inlineStr">
        <is>
          <t>생존 (survived)</t>
        </is>
      </c>
      <c r="K35" s="2" t="inlineStr">
        <is>
          <t>substitute snapshot gpt-4o-2024-05-13</t>
        </is>
      </c>
      <c r="L35" s="2" t="inlineStr">
        <is>
          <t>runs/W4400435289/run_meta.json</t>
        </is>
      </c>
      <c r="M35" s="2" t="inlineStr"/>
      <c r="N35" s="3" t="n"/>
      <c r="O35" s="3" t="n"/>
      <c r="P35" s="3" t="n"/>
      <c r="Q35" s="3" t="n"/>
      <c r="R35" s="3" t="n"/>
      <c r="S35" s="3" t="n"/>
      <c r="T35" s="3" t="n"/>
      <c r="U35" s="3" t="n"/>
      <c r="V35" s="3" t="n"/>
      <c r="W35" s="2">
        <f>IF(COUNTA(N35:P35)&lt;3,"",IF(AND(N35=O35,O35=P35),N35,IF(N35=O35,N35,IF(N35=P35,N35,IF(O35=P35,O35,"판정 불능")))))</f>
        <v/>
      </c>
      <c r="X35" s="2">
        <f>IF(COUNTA(N35:P35)&lt;3,"",IF(AND(N35=O35,O35=P35),"3/3",IF(OR(N35=O35,N35=P35,O35=P35),"2/3","0/3")))</f>
        <v/>
      </c>
    </row>
    <row r="36">
      <c r="A36" s="2" t="n">
        <v>35</v>
      </c>
      <c r="B36" s="2" t="inlineStr">
        <is>
          <t>W4400435289</t>
        </is>
      </c>
      <c r="C36" s="2" t="inlineStr">
        <is>
          <t>Me, Myself, and AI: The Situational Awareness Dataset (SAD) for LLMs</t>
        </is>
      </c>
      <c r="D36" s="2" t="inlineStr">
        <is>
          <t>SAD-mini influence: accuracy</t>
        </is>
      </c>
      <c r="E36" s="2" t="n">
        <v>0.678125</v>
      </c>
      <c r="F36" s="2" t="n">
        <v>0.703125</v>
      </c>
      <c r="G36" s="2" t="n">
        <v>0.6497000000000001</v>
      </c>
      <c r="H36" s="2" t="n">
        <v>0.7565</v>
      </c>
      <c r="I36" s="2" t="inlineStr">
        <is>
          <t>x100</t>
        </is>
      </c>
      <c r="J36" s="2" t="inlineStr">
        <is>
          <t>생존 (survived)</t>
        </is>
      </c>
      <c r="K36" s="2" t="inlineStr">
        <is>
          <t>substitute snapshot gpt-4o-2024-05-13</t>
        </is>
      </c>
      <c r="L36" s="2" t="inlineStr">
        <is>
          <t>runs/W4400435289/run_meta.json</t>
        </is>
      </c>
      <c r="M36" s="2" t="inlineStr"/>
      <c r="N36" s="3" t="n"/>
      <c r="O36" s="3" t="n"/>
      <c r="P36" s="3" t="n"/>
      <c r="Q36" s="3" t="n"/>
      <c r="R36" s="3" t="n"/>
      <c r="S36" s="3" t="n"/>
      <c r="T36" s="3" t="n"/>
      <c r="U36" s="3" t="n"/>
      <c r="V36" s="3" t="n"/>
      <c r="W36" s="2">
        <f>IF(COUNTA(N36:P36)&lt;3,"",IF(AND(N36=O36,O36=P36),N36,IF(N36=O36,N36,IF(N36=P36,N36,IF(O36=P36,O36,"판정 불능")))))</f>
        <v/>
      </c>
      <c r="X36" s="2">
        <f>IF(COUNTA(N36:P36)&lt;3,"",IF(AND(N36=O36,O36=P36),"3/3",IF(OR(N36=O36,N36=P36,O36=P36),"2/3","0/3")))</f>
        <v/>
      </c>
    </row>
    <row r="37">
      <c r="A37" s="2" t="n">
        <v>36</v>
      </c>
      <c r="B37" s="2" t="inlineStr">
        <is>
          <t>W4400435289</t>
        </is>
      </c>
      <c r="C37" s="2" t="inlineStr">
        <is>
          <t>Me, Myself, and AI: The Situational Awareness Dataset (SAD) for LLMs</t>
        </is>
      </c>
      <c r="D37" s="2" t="inlineStr">
        <is>
          <t>SAD-mini stages_full: accuracy</t>
        </is>
      </c>
      <c r="E37" s="2" t="n">
        <v>0.3375</v>
      </c>
      <c r="F37" s="2" t="n">
        <v>0.33875</v>
      </c>
      <c r="G37" s="2" t="n">
        <v>0.305</v>
      </c>
      <c r="H37" s="2" t="n">
        <v>0.37</v>
      </c>
      <c r="I37" s="2" t="inlineStr">
        <is>
          <t>x100</t>
        </is>
      </c>
      <c r="J37" s="2" t="inlineStr">
        <is>
          <t>생존 (survived)</t>
        </is>
      </c>
      <c r="K37" s="2" t="inlineStr">
        <is>
          <t>substitute snapshot gpt-4o-2024-05-13</t>
        </is>
      </c>
      <c r="L37" s="2" t="inlineStr">
        <is>
          <t>runs/W4400435289/run_meta.json</t>
        </is>
      </c>
      <c r="M37" s="2" t="inlineStr"/>
      <c r="N37" s="3" t="n"/>
      <c r="O37" s="3" t="n"/>
      <c r="P37" s="3" t="n"/>
      <c r="Q37" s="3" t="n"/>
      <c r="R37" s="3" t="n"/>
      <c r="S37" s="3" t="n"/>
      <c r="T37" s="3" t="n"/>
      <c r="U37" s="3" t="n"/>
      <c r="V37" s="3" t="n"/>
      <c r="W37" s="2">
        <f>IF(COUNTA(N37:P37)&lt;3,"",IF(AND(N37=O37,O37=P37),N37,IF(N37=O37,N37,IF(N37=P37,N37,IF(O37=P37,O37,"판정 불능")))))</f>
        <v/>
      </c>
      <c r="X37" s="2">
        <f>IF(COUNTA(N37:P37)&lt;3,"",IF(AND(N37=O37,O37=P37),"3/3",IF(OR(N37=O37,N37=P37,O37=P37),"2/3","0/3")))</f>
        <v/>
      </c>
    </row>
    <row r="38">
      <c r="A38" s="2" t="n">
        <v>37</v>
      </c>
      <c r="B38" s="2" t="inlineStr">
        <is>
          <t>W4400435289</t>
        </is>
      </c>
      <c r="C38" s="2" t="inlineStr">
        <is>
          <t>Me, Myself, and AI: The Situational Awareness Dataset (SAD) for LLMs</t>
        </is>
      </c>
      <c r="D38" s="2" t="inlineStr">
        <is>
          <t>SAD-mini stages_oversight: accuracy</t>
        </is>
      </c>
      <c r="E38" s="2" t="n">
        <v>0.4575</v>
      </c>
      <c r="F38" s="2" t="n">
        <v>0.4575</v>
      </c>
      <c r="G38" s="2" t="n">
        <v>0.4067</v>
      </c>
      <c r="H38" s="2" t="n">
        <v>0.4983</v>
      </c>
      <c r="I38" s="2" t="inlineStr">
        <is>
          <t>x100</t>
        </is>
      </c>
      <c r="J38" s="2" t="inlineStr">
        <is>
          <t>생존 (survived)</t>
        </is>
      </c>
      <c r="K38" s="2" t="inlineStr">
        <is>
          <t>substitute snapshot gpt-4o-2024-05-13</t>
        </is>
      </c>
      <c r="L38" s="2" t="inlineStr">
        <is>
          <t>runs/W4400435289/run_meta.json</t>
        </is>
      </c>
      <c r="M38" s="2" t="inlineStr"/>
      <c r="N38" s="3" t="n"/>
      <c r="O38" s="3" t="n"/>
      <c r="P38" s="3" t="n"/>
      <c r="Q38" s="3" t="n"/>
      <c r="R38" s="3" t="n"/>
      <c r="S38" s="3" t="n"/>
      <c r="T38" s="3" t="n"/>
      <c r="U38" s="3" t="n"/>
      <c r="V38" s="3" t="n"/>
      <c r="W38" s="2">
        <f>IF(COUNTA(N38:P38)&lt;3,"",IF(AND(N38=O38,O38=P38),N38,IF(N38=O38,N38,IF(N38=P38,N38,IF(O38=P38,O38,"판정 불능")))))</f>
        <v/>
      </c>
      <c r="X38" s="2">
        <f>IF(COUNTA(N38:P38)&lt;3,"",IF(AND(N38=O38,O38=P38),"3/3",IF(OR(N38=O38,N38=P38,O38=P38),"2/3","0/3")))</f>
        <v/>
      </c>
    </row>
    <row r="39">
      <c r="A39" s="2" t="n">
        <v>38</v>
      </c>
      <c r="B39" s="2" t="inlineStr">
        <is>
          <t>W4400435289</t>
        </is>
      </c>
      <c r="C39" s="2" t="inlineStr">
        <is>
          <t>Me, Myself, and AI: The Situational Awareness Dataset (SAD) for LLMs</t>
        </is>
      </c>
      <c r="D39" s="2" t="inlineStr">
        <is>
          <t>SAD-mini SAD-mini/paper_unweighted: accuracy</t>
        </is>
      </c>
      <c r="E39" s="2" t="n">
        <v>0.623</v>
      </c>
      <c r="F39" s="2" t="n">
        <v>0.6319754016064257</v>
      </c>
      <c r="G39" s="2" t="n">
        <v>0.614</v>
      </c>
      <c r="H39" s="2" t="n">
        <v>0.6509</v>
      </c>
      <c r="I39" s="2" t="inlineStr">
        <is>
          <t>x100</t>
        </is>
      </c>
      <c r="J39" s="2" t="inlineStr">
        <is>
          <t>생존 (survived)</t>
        </is>
      </c>
      <c r="K39" s="2" t="inlineStr">
        <is>
          <t>substitute snapshot gpt-4o-2024-05-13</t>
        </is>
      </c>
      <c r="L39" s="2" t="inlineStr">
        <is>
          <t>runs/W4400435289/run_meta.json</t>
        </is>
      </c>
      <c r="M39" s="2" t="inlineStr"/>
      <c r="N39" s="3" t="n"/>
      <c r="O39" s="3" t="n"/>
      <c r="P39" s="3" t="n"/>
      <c r="Q39" s="3" t="n"/>
      <c r="R39" s="3" t="n"/>
      <c r="S39" s="3" t="n"/>
      <c r="T39" s="3" t="n"/>
      <c r="U39" s="3" t="n"/>
      <c r="V39" s="3" t="n"/>
      <c r="W39" s="2">
        <f>IF(COUNTA(N39:P39)&lt;3,"",IF(AND(N39=O39,O39=P39),N39,IF(N39=O39,N39,IF(N39=P39,N39,IF(O39=P39,O39,"판정 불능")))))</f>
        <v/>
      </c>
      <c r="X39" s="2">
        <f>IF(COUNTA(N39:P39)&lt;3,"",IF(AND(N39=O39,O39=P39),"3/3",IF(OR(N39=O39,N39=P39,O39=P39),"2/3","0/3")))</f>
        <v/>
      </c>
    </row>
    <row r="40">
      <c r="A40" s="2" t="n">
        <v>39</v>
      </c>
      <c r="B40" s="2" t="inlineStr">
        <is>
          <t>W4400435289</t>
        </is>
      </c>
      <c r="C40" s="2" t="inlineStr">
        <is>
          <t>Me, Myself, and AI: The Situational Awareness Dataset (SAD) for LLMs</t>
        </is>
      </c>
      <c r="D40" s="2" t="inlineStr">
        <is>
          <t>SAD-mini SAD-mini/repo_weighted: accuracy</t>
        </is>
      </c>
      <c r="E40" s="2" t="n">
        <v>0.594406626506024</v>
      </c>
      <c r="F40" s="2" t="n">
        <v>0.6053002008032129</v>
      </c>
      <c r="G40" s="2" t="n">
        <v>0.58</v>
      </c>
      <c r="H40" s="2" t="n">
        <v>0.6332</v>
      </c>
      <c r="I40" s="2" t="inlineStr">
        <is>
          <t>x100</t>
        </is>
      </c>
      <c r="J40" s="2" t="inlineStr">
        <is>
          <t>생존 (survived)</t>
        </is>
      </c>
      <c r="K40" s="2" t="inlineStr">
        <is>
          <t>substitute snapshot gpt-4o-2024-05-13</t>
        </is>
      </c>
      <c r="L40" s="2" t="inlineStr">
        <is>
          <t>runs/W4400435289/run_meta.json</t>
        </is>
      </c>
      <c r="M40" s="2" t="inlineStr"/>
      <c r="N40" s="3" t="n"/>
      <c r="O40" s="3" t="n"/>
      <c r="P40" s="3" t="n"/>
      <c r="Q40" s="3" t="n"/>
      <c r="R40" s="3" t="n"/>
      <c r="S40" s="3" t="n"/>
      <c r="T40" s="3" t="n"/>
      <c r="U40" s="3" t="n"/>
      <c r="V40" s="3" t="n"/>
      <c r="W40" s="2">
        <f>IF(COUNTA(N40:P40)&lt;3,"",IF(AND(N40=O40,O40=P40),N40,IF(N40=O40,N40,IF(N40=P40,N40,IF(O40=P40,O40,"판정 불능")))))</f>
        <v/>
      </c>
      <c r="X40" s="2">
        <f>IF(COUNTA(N40:P40)&lt;3,"",IF(AND(N40=O40,O40=P40),"3/3",IF(OR(N40=O40,N40=P40,O40=P40),"2/3","0/3")))</f>
        <v/>
      </c>
    </row>
    <row r="41">
      <c r="A41" s="2" t="n">
        <v>40</v>
      </c>
      <c r="B41" s="2" t="inlineStr">
        <is>
          <t>W4404782878</t>
        </is>
      </c>
      <c r="C41" s="2" t="inlineStr">
        <is>
          <t>Humans or LLMs as the Judge? A Study on Judgement Bias</t>
        </is>
      </c>
      <c r="D41" s="2" t="inlineStr">
        <is>
          <t>Judgement bias: attack success rate, factual error</t>
        </is>
      </c>
      <c r="E41" s="2" t="n">
        <v>0.06</v>
      </c>
      <c r="F41" s="2" t="n">
        <v>0.08160000000000001</v>
      </c>
      <c r="G41" s="2" t="n">
        <v>0.0306</v>
      </c>
      <c r="H41" s="2" t="n">
        <v>0.1386</v>
      </c>
      <c r="I41" s="2" t="inlineStr">
        <is>
          <t>x100</t>
        </is>
      </c>
      <c r="J41" s="2" t="inlineStr">
        <is>
          <t>부분 생존 (partial)</t>
        </is>
      </c>
      <c r="K41" s="2" t="inlineStr">
        <is>
          <t>substitute snapshot; 6-vote composition assumed</t>
        </is>
      </c>
      <c r="L41" s="2" t="inlineStr">
        <is>
          <t>runs/W4404782878/run_meta.json</t>
        </is>
      </c>
      <c r="M41" s="2" t="inlineStr"/>
      <c r="N41" s="3" t="n"/>
      <c r="O41" s="3" t="n"/>
      <c r="P41" s="3" t="n"/>
      <c r="Q41" s="3" t="n"/>
      <c r="R41" s="3" t="n"/>
      <c r="S41" s="3" t="n"/>
      <c r="T41" s="3" t="n"/>
      <c r="U41" s="3" t="n"/>
      <c r="V41" s="3" t="n"/>
      <c r="W41" s="2">
        <f>IF(COUNTA(N41:P41)&lt;3,"",IF(AND(N41=O41,O41=P41),N41,IF(N41=O41,N41,IF(N41=P41,N41,IF(O41=P41,O41,"판정 불능")))))</f>
        <v/>
      </c>
      <c r="X41" s="2">
        <f>IF(COUNTA(N41:P41)&lt;3,"",IF(AND(N41=O41,O41=P41),"3/3",IF(OR(N41=O41,N41=P41,O41=P41),"2/3","0/3")))</f>
        <v/>
      </c>
    </row>
    <row r="42">
      <c r="A42" s="2" t="n">
        <v>41</v>
      </c>
      <c r="B42" s="2" t="inlineStr">
        <is>
          <t>W4404782878</t>
        </is>
      </c>
      <c r="C42" s="2" t="inlineStr">
        <is>
          <t>Humans or LLMs as the Judge? A Study on Judgement Bias</t>
        </is>
      </c>
      <c r="D42" s="2" t="inlineStr">
        <is>
          <t>Judgement bias: attack success rate, gender</t>
        </is>
      </c>
      <c r="E42" s="2" t="n">
        <v>0.16</v>
      </c>
      <c r="F42" s="2" t="n">
        <v>0.09470000000000001</v>
      </c>
      <c r="G42" s="2" t="n">
        <v>0.04</v>
      </c>
      <c r="H42" s="2" t="n">
        <v>0.16</v>
      </c>
      <c r="I42" s="2" t="inlineStr">
        <is>
          <t>x100</t>
        </is>
      </c>
      <c r="J42" s="2" t="inlineStr">
        <is>
          <t>부분 생존 (partial)</t>
        </is>
      </c>
      <c r="K42" s="2" t="inlineStr">
        <is>
          <t>substitute snapshot; 6-vote composition assumed</t>
        </is>
      </c>
      <c r="L42" s="2" t="inlineStr">
        <is>
          <t>runs/W4404782878/run_meta.json</t>
        </is>
      </c>
      <c r="M42" s="2" t="inlineStr"/>
      <c r="N42" s="3" t="n"/>
      <c r="O42" s="3" t="n"/>
      <c r="P42" s="3" t="n"/>
      <c r="Q42" s="3" t="n"/>
      <c r="R42" s="3" t="n"/>
      <c r="S42" s="3" t="n"/>
      <c r="T42" s="3" t="n"/>
      <c r="U42" s="3" t="n"/>
      <c r="V42" s="3" t="n"/>
      <c r="W42" s="2">
        <f>IF(COUNTA(N42:P42)&lt;3,"",IF(AND(N42=O42,O42=P42),N42,IF(N42=O42,N42,IF(N42=P42,N42,IF(O42=P42,O42,"판정 불능")))))</f>
        <v/>
      </c>
      <c r="X42" s="2">
        <f>IF(COUNTA(N42:P42)&lt;3,"",IF(AND(N42=O42,O42=P42),"3/3",IF(OR(N42=O42,N42=P42,O42=P42),"2/3","0/3")))</f>
        <v/>
      </c>
    </row>
    <row r="43">
      <c r="A43" s="2" t="n">
        <v>42</v>
      </c>
      <c r="B43" s="2" t="inlineStr">
        <is>
          <t>W4404782878</t>
        </is>
      </c>
      <c r="C43" s="2" t="inlineStr">
        <is>
          <t>Humans or LLMs as the Judge? A Study on Judgement Bias</t>
        </is>
      </c>
      <c r="D43" s="2" t="inlineStr">
        <is>
          <t>Judgement bias: attack success rate, reference</t>
        </is>
      </c>
      <c r="E43" s="2" t="n">
        <v>0.32</v>
      </c>
      <c r="F43" s="2" t="n">
        <v>0.3298</v>
      </c>
      <c r="G43" s="2" t="n">
        <v>0.234</v>
      </c>
      <c r="H43" s="2" t="n">
        <v>0.4286</v>
      </c>
      <c r="I43" s="2" t="inlineStr">
        <is>
          <t>x100</t>
        </is>
      </c>
      <c r="J43" s="2" t="inlineStr">
        <is>
          <t>부분 생존 (partial)</t>
        </is>
      </c>
      <c r="K43" s="2" t="inlineStr">
        <is>
          <t>substitute snapshot; 6-vote composition assumed</t>
        </is>
      </c>
      <c r="L43" s="2" t="inlineStr">
        <is>
          <t>runs/W4404782878/run_meta.json</t>
        </is>
      </c>
      <c r="M43" s="2" t="inlineStr"/>
      <c r="N43" s="3" t="n"/>
      <c r="O43" s="3" t="n"/>
      <c r="P43" s="3" t="n"/>
      <c r="Q43" s="3" t="n"/>
      <c r="R43" s="3" t="n"/>
      <c r="S43" s="3" t="n"/>
      <c r="T43" s="3" t="n"/>
      <c r="U43" s="3" t="n"/>
      <c r="V43" s="3" t="n"/>
      <c r="W43" s="2">
        <f>IF(COUNTA(N43:P43)&lt;3,"",IF(AND(N43=O43,O43=P43),N43,IF(N43=O43,N43,IF(N43=P43,N43,IF(O43=P43,O43,"판정 불능")))))</f>
        <v/>
      </c>
      <c r="X43" s="2">
        <f>IF(COUNTA(N43:P43)&lt;3,"",IF(AND(N43=O43,O43=P43),"3/3",IF(OR(N43=O43,N43=P43,O43=P43),"2/3","0/3")))</f>
        <v/>
      </c>
    </row>
    <row r="44">
      <c r="A44" s="2" t="n">
        <v>43</v>
      </c>
      <c r="B44" s="2" t="inlineStr">
        <is>
          <t>W4404782878</t>
        </is>
      </c>
      <c r="C44" s="2" t="inlineStr">
        <is>
          <t>Humans or LLMs as the Judge? A Study on Judgement Bias</t>
        </is>
      </c>
      <c r="D44" s="2" t="inlineStr">
        <is>
          <t>Judgement bias: attack success rate, rich content</t>
        </is>
      </c>
      <c r="E44" s="2" t="n">
        <v>0.07000000000000001</v>
      </c>
      <c r="F44" s="2" t="n">
        <v>0.2421</v>
      </c>
      <c r="G44" s="2" t="n">
        <v>0.1613</v>
      </c>
      <c r="H44" s="2" t="n">
        <v>0.3301</v>
      </c>
      <c r="I44" s="2" t="inlineStr">
        <is>
          <t>x100</t>
        </is>
      </c>
      <c r="J44" s="2" t="inlineStr">
        <is>
          <t>부분 생존 (partial)</t>
        </is>
      </c>
      <c r="K44" s="2" t="inlineStr">
        <is>
          <t>substitute snapshot; 6-vote composition assumed</t>
        </is>
      </c>
      <c r="L44" s="2" t="inlineStr">
        <is>
          <t>runs/W4404782878/run_meta.json</t>
        </is>
      </c>
      <c r="M44" s="2" t="inlineStr"/>
      <c r="N44" s="3" t="n"/>
      <c r="O44" s="3" t="n"/>
      <c r="P44" s="3" t="n"/>
      <c r="Q44" s="3" t="n"/>
      <c r="R44" s="3" t="n"/>
      <c r="S44" s="3" t="n"/>
      <c r="T44" s="3" t="n"/>
      <c r="U44" s="3" t="n"/>
      <c r="V44" s="3" t="n"/>
      <c r="W44" s="2">
        <f>IF(COUNTA(N44:P44)&lt;3,"",IF(AND(N44=O44,O44=P44),N44,IF(N44=O44,N44,IF(N44=P44,N44,IF(O44=P44,O44,"판정 불능")))))</f>
        <v/>
      </c>
      <c r="X44" s="2">
        <f>IF(COUNTA(N44:P44)&lt;3,"",IF(AND(N44=O44,O44=P44),"3/3",IF(OR(N44=O44,N44=P44,O44=P44),"2/3","0/3")))</f>
        <v/>
      </c>
    </row>
    <row r="45">
      <c r="A45" s="2" t="n">
        <v>44</v>
      </c>
      <c r="B45" s="2" t="inlineStr">
        <is>
          <t>W4411120389</t>
        </is>
      </c>
      <c r="C45" s="2" t="inlineStr">
        <is>
          <t>The Good, The Bad, and The Greedy: Evaluation of LLMs Should Not Ignore Non-Determinism</t>
        </is>
      </c>
      <c r="D45" s="2" t="inlineStr">
        <is>
          <t>Greedy vs sampling (HumanEval): greedy pass@1, median of 3 repeats</t>
        </is>
      </c>
      <c r="E45" s="2" t="n">
        <v>89.59999999999999</v>
      </c>
      <c r="F45" s="2" t="n">
        <v>88.41463414634147</v>
      </c>
      <c r="G45" s="2" t="n">
        <v>82.92682926829268</v>
      </c>
      <c r="H45" s="2" t="n">
        <v>92.6829268292683</v>
      </c>
      <c r="I45" s="2" t="inlineStr">
        <is>
          <t>pts</t>
        </is>
      </c>
      <c r="J45" s="2" t="inlineStr">
        <is>
          <t>부분 생존 (partial)</t>
        </is>
      </c>
      <c r="K45" s="2" t="inlineStr"/>
      <c r="L45" s="2" t="inlineStr">
        <is>
          <t>runs/W4411120389/run_meta.json</t>
        </is>
      </c>
      <c r="M45" s="2" t="inlineStr"/>
      <c r="N45" s="3" t="n"/>
      <c r="O45" s="3" t="n"/>
      <c r="P45" s="3" t="n"/>
      <c r="Q45" s="3" t="n"/>
      <c r="R45" s="3" t="n"/>
      <c r="S45" s="3" t="n"/>
      <c r="T45" s="3" t="n"/>
      <c r="U45" s="3" t="n"/>
      <c r="V45" s="3" t="n"/>
      <c r="W45" s="2">
        <f>IF(COUNTA(N45:P45)&lt;3,"",IF(AND(N45=O45,O45=P45),N45,IF(N45=O45,N45,IF(N45=P45,N45,IF(O45=P45,O45,"판정 불능")))))</f>
        <v/>
      </c>
      <c r="X45" s="2">
        <f>IF(COUNTA(N45:P45)&lt;3,"",IF(AND(N45=O45,O45=P45),"3/3",IF(OR(N45=O45,N45=P45,O45=P45),"2/3","0/3")))</f>
        <v/>
      </c>
    </row>
    <row r="46">
      <c r="A46" s="2" t="n">
        <v>45</v>
      </c>
      <c r="B46" s="2" t="inlineStr">
        <is>
          <t>W4411120389</t>
        </is>
      </c>
      <c r="C46" s="2" t="inlineStr">
        <is>
          <t>The Good, The Bad, and The Greedy: Evaluation of LLMs Should Not Ignore Non-Determinism</t>
        </is>
      </c>
      <c r="D46" s="2" t="inlineStr">
        <is>
          <t>Greedy vs sampling (HumanEval): sampled pass@1, mean of 32 runs</t>
        </is>
      </c>
      <c r="E46" s="2" t="n">
        <v>84.09999999999999</v>
      </c>
      <c r="F46" s="2" t="n">
        <v>86.92835365853658</v>
      </c>
      <c r="G46" s="2" t="n">
        <v>83.07783917682927</v>
      </c>
      <c r="H46" s="2" t="n">
        <v>90.45350609756098</v>
      </c>
      <c r="I46" s="2" t="inlineStr">
        <is>
          <t>pts</t>
        </is>
      </c>
      <c r="J46" s="2" t="inlineStr">
        <is>
          <t>부분 생존 (partial)</t>
        </is>
      </c>
      <c r="K46" s="2" t="inlineStr">
        <is>
          <t>paper states N=128; the released archive holds 32 runs</t>
        </is>
      </c>
      <c r="L46" s="2" t="inlineStr">
        <is>
          <t>runs/W4411120389/run_meta.json</t>
        </is>
      </c>
      <c r="M46" s="2" t="inlineStr"/>
      <c r="N46" s="3" t="n"/>
      <c r="O46" s="3" t="n"/>
      <c r="P46" s="3" t="n"/>
      <c r="Q46" s="3" t="n"/>
      <c r="R46" s="3" t="n"/>
      <c r="S46" s="3" t="n"/>
      <c r="T46" s="3" t="n"/>
      <c r="U46" s="3" t="n"/>
      <c r="V46" s="3" t="n"/>
      <c r="W46" s="2">
        <f>IF(COUNTA(N46:P46)&lt;3,"",IF(AND(N46=O46,O46=P46),N46,IF(N46=O46,N46,IF(N46=P46,N46,IF(O46=P46,O46,"판정 불능")))))</f>
        <v/>
      </c>
      <c r="X46" s="2">
        <f>IF(COUNTA(N46:P46)&lt;3,"",IF(AND(N46=O46,O46=P46),"3/3",IF(OR(N46=O46,N46=P46,O46=P46),"2/3","0/3")))</f>
        <v/>
      </c>
    </row>
    <row r="47">
      <c r="A47" s="2" t="n">
        <v>46</v>
      </c>
      <c r="B47" s="2" t="inlineStr">
        <is>
          <t>W4411120389</t>
        </is>
      </c>
      <c r="C47" s="2" t="inlineStr">
        <is>
          <t>The Good, The Bad, and The Greedy: Evaluation of LLMs Should Not Ignore Non-Determinism</t>
        </is>
      </c>
      <c r="D47" s="2" t="inlineStr">
        <is>
          <t>Greedy vs sampling (HumanEval): greedy minus sampled gap</t>
        </is>
      </c>
      <c r="E47" s="2" t="n">
        <v>5.5</v>
      </c>
      <c r="F47" s="2" t="n">
        <v>1.486280487804891</v>
      </c>
      <c r="G47" s="2" t="n">
        <v>-1.543445121951209</v>
      </c>
      <c r="H47" s="2" t="n">
        <v>4.212080792682933</v>
      </c>
      <c r="I47" s="2" t="inlineStr">
        <is>
          <t>pts</t>
        </is>
      </c>
      <c r="J47" s="2" t="inlineStr">
        <is>
          <t>부분 생존 (partial)</t>
        </is>
      </c>
      <c r="K47" s="2" t="inlineStr"/>
      <c r="L47" s="2" t="inlineStr">
        <is>
          <t>runs/W4411120389/run_meta.json</t>
        </is>
      </c>
      <c r="M47" s="2" t="inlineStr"/>
      <c r="N47" s="3" t="n"/>
      <c r="O47" s="3" t="n"/>
      <c r="P47" s="3" t="n"/>
      <c r="Q47" s="3" t="n"/>
      <c r="R47" s="3" t="n"/>
      <c r="S47" s="3" t="n"/>
      <c r="T47" s="3" t="n"/>
      <c r="U47" s="3" t="n"/>
      <c r="V47" s="3" t="n"/>
      <c r="W47" s="2">
        <f>IF(COUNTA(N47:P47)&lt;3,"",IF(AND(N47=O47,O47=P47),N47,IF(N47=O47,N47,IF(N47=P47,N47,IF(O47=P47,O47,"판정 불능")))))</f>
        <v/>
      </c>
      <c r="X47" s="2">
        <f>IF(COUNTA(N47:P47)&lt;3,"",IF(AND(N47=O47,O47=P47),"3/3",IF(OR(N47=O47,N47=P47,O47=P47),"2/3","0/3")))</f>
        <v/>
      </c>
    </row>
    <row r="48">
      <c r="A48" s="2" t="n">
        <v>47</v>
      </c>
      <c r="B48" s="2" t="inlineStr">
        <is>
          <t>W4416074906</t>
        </is>
      </c>
      <c r="C48" s="2" t="inlineStr">
        <is>
          <t>AgentMisalignment: Measuring the Propensity for Misaligned Behaviour in LLM-Based Agents</t>
        </is>
      </c>
      <c r="D48" s="2" t="inlineStr">
        <is>
          <t>AgentMisalignment: misalignment score, persona None</t>
        </is>
      </c>
      <c r="E48" s="2" t="n">
        <v>0.208</v>
      </c>
      <c r="F48" s="2" t="n">
        <v>0.2083</v>
      </c>
      <c r="G48" s="2" t="n">
        <v>0.0417</v>
      </c>
      <c r="H48" s="2" t="n">
        <v>0.4167</v>
      </c>
      <c r="I48" s="2" t="inlineStr">
        <is>
          <t>x100</t>
        </is>
      </c>
      <c r="J48" s="2" t="inlineStr">
        <is>
          <t>생존 (survived)</t>
        </is>
      </c>
      <c r="K48" s="2" t="inlineStr">
        <is>
          <t>6 scenarios per persona</t>
        </is>
      </c>
      <c r="L48" s="2" t="inlineStr">
        <is>
          <t>runs/W4416074906/run_meta.json</t>
        </is>
      </c>
      <c r="M48" s="2" t="inlineStr"/>
      <c r="N48" s="3" t="n"/>
      <c r="O48" s="3" t="n"/>
      <c r="P48" s="3" t="n"/>
      <c r="Q48" s="3" t="n"/>
      <c r="R48" s="3" t="n"/>
      <c r="S48" s="3" t="n"/>
      <c r="T48" s="3" t="n"/>
      <c r="U48" s="3" t="n"/>
      <c r="V48" s="3" t="n"/>
      <c r="W48" s="2">
        <f>IF(COUNTA(N48:P48)&lt;3,"",IF(AND(N48=O48,O48=P48),N48,IF(N48=O48,N48,IF(N48=P48,N48,IF(O48=P48,O48,"판정 불능")))))</f>
        <v/>
      </c>
      <c r="X48" s="2">
        <f>IF(COUNTA(N48:P48)&lt;3,"",IF(AND(N48=O48,O48=P48),"3/3",IF(OR(N48=O48,N48=P48,O48=P48),"2/3","0/3")))</f>
        <v/>
      </c>
    </row>
    <row r="49">
      <c r="A49" s="2" t="n">
        <v>48</v>
      </c>
      <c r="B49" s="2" t="inlineStr">
        <is>
          <t>W4416074906</t>
        </is>
      </c>
      <c r="C49" s="2" t="inlineStr">
        <is>
          <t>AgentMisalignment: Measuring the Propensity for Misaligned Behaviour in LLM-Based Agents</t>
        </is>
      </c>
      <c r="D49" s="2" t="inlineStr">
        <is>
          <t>AgentMisalignment: misalignment score, persona Analyst</t>
        </is>
      </c>
      <c r="E49" s="2" t="n">
        <v>0.208</v>
      </c>
      <c r="F49" s="2" t="n">
        <v>0.2083</v>
      </c>
      <c r="G49" s="2" t="n">
        <v>0.0417</v>
      </c>
      <c r="H49" s="2" t="n">
        <v>0.375</v>
      </c>
      <c r="I49" s="2" t="inlineStr">
        <is>
          <t>x100</t>
        </is>
      </c>
      <c r="J49" s="2" t="inlineStr">
        <is>
          <t>생존 (survived)</t>
        </is>
      </c>
      <c r="K49" s="2" t="inlineStr">
        <is>
          <t>6 scenarios per persona</t>
        </is>
      </c>
      <c r="L49" s="2" t="inlineStr">
        <is>
          <t>runs/W4416074906/run_meta.json</t>
        </is>
      </c>
      <c r="M49" s="2" t="inlineStr"/>
      <c r="N49" s="3" t="n"/>
      <c r="O49" s="3" t="n"/>
      <c r="P49" s="3" t="n"/>
      <c r="Q49" s="3" t="n"/>
      <c r="R49" s="3" t="n"/>
      <c r="S49" s="3" t="n"/>
      <c r="T49" s="3" t="n"/>
      <c r="U49" s="3" t="n"/>
      <c r="V49" s="3" t="n"/>
      <c r="W49" s="2">
        <f>IF(COUNTA(N49:P49)&lt;3,"",IF(AND(N49=O49,O49=P49),N49,IF(N49=O49,N49,IF(N49=P49,N49,IF(O49=P49,O49,"판정 불능")))))</f>
        <v/>
      </c>
      <c r="X49" s="2">
        <f>IF(COUNTA(N49:P49)&lt;3,"",IF(AND(N49=O49,O49=P49),"3/3",IF(OR(N49=O49,N49=P49,O49=P49),"2/3","0/3")))</f>
        <v/>
      </c>
    </row>
    <row r="50">
      <c r="A50" s="2" t="n">
        <v>49</v>
      </c>
      <c r="B50" s="2" t="inlineStr">
        <is>
          <t>W4416074906</t>
        </is>
      </c>
      <c r="C50" s="2" t="inlineStr">
        <is>
          <t>AgentMisalignment: Measuring the Propensity for Misaligned Behaviour in LLM-Based Agents</t>
        </is>
      </c>
      <c r="D50" s="2" t="inlineStr">
        <is>
          <t>AgentMisalignment: misalignment score, persona Executor</t>
        </is>
      </c>
      <c r="E50" s="2" t="n">
        <v>0.25</v>
      </c>
      <c r="F50" s="2" t="n">
        <v>0.25</v>
      </c>
      <c r="G50" s="2" t="n">
        <v>0.0833</v>
      </c>
      <c r="H50" s="2" t="n">
        <v>0.4167</v>
      </c>
      <c r="I50" s="2" t="inlineStr">
        <is>
          <t>x100</t>
        </is>
      </c>
      <c r="J50" s="2" t="inlineStr">
        <is>
          <t>생존 (survived)</t>
        </is>
      </c>
      <c r="K50" s="2" t="inlineStr">
        <is>
          <t>6 scenarios per persona</t>
        </is>
      </c>
      <c r="L50" s="2" t="inlineStr">
        <is>
          <t>runs/W4416074906/run_meta.json</t>
        </is>
      </c>
      <c r="M50" s="2" t="inlineStr"/>
      <c r="N50" s="3" t="n"/>
      <c r="O50" s="3" t="n"/>
      <c r="P50" s="3" t="n"/>
      <c r="Q50" s="3" t="n"/>
      <c r="R50" s="3" t="n"/>
      <c r="S50" s="3" t="n"/>
      <c r="T50" s="3" t="n"/>
      <c r="U50" s="3" t="n"/>
      <c r="V50" s="3" t="n"/>
      <c r="W50" s="2">
        <f>IF(COUNTA(N50:P50)&lt;3,"",IF(AND(N50=O50,O50=P50),N50,IF(N50=O50,N50,IF(N50=P50,N50,IF(O50=P50,O50,"판정 불능")))))</f>
        <v/>
      </c>
      <c r="X50" s="2">
        <f>IF(COUNTA(N50:P50)&lt;3,"",IF(AND(N50=O50,O50=P50),"3/3",IF(OR(N50=O50,N50=P50,O50=P50),"2/3","0/3")))</f>
        <v/>
      </c>
    </row>
    <row r="51">
      <c r="A51" s="2" t="n">
        <v>50</v>
      </c>
      <c r="B51" s="2" t="inlineStr">
        <is>
          <t>W4416074906</t>
        </is>
      </c>
      <c r="C51" s="2" t="inlineStr">
        <is>
          <t>AgentMisalignment: Measuring the Propensity for Misaligned Behaviour in LLM-Based Agents</t>
        </is>
      </c>
      <c r="D51" s="2" t="inlineStr">
        <is>
          <t>AgentMisalignment: misalignment score, persona Inventor</t>
        </is>
      </c>
      <c r="E51" s="2" t="n">
        <v>0.208</v>
      </c>
      <c r="F51" s="2" t="n">
        <v>0.25</v>
      </c>
      <c r="G51" s="2" t="n">
        <v>0.0833</v>
      </c>
      <c r="H51" s="2" t="n">
        <v>0.4167</v>
      </c>
      <c r="I51" s="2" t="inlineStr">
        <is>
          <t>x100</t>
        </is>
      </c>
      <c r="J51" s="2" t="inlineStr">
        <is>
          <t>생존 (survived)</t>
        </is>
      </c>
      <c r="K51" s="2" t="inlineStr">
        <is>
          <t>6 scenarios per persona</t>
        </is>
      </c>
      <c r="L51" s="2" t="inlineStr">
        <is>
          <t>runs/W4416074906/run_meta.json</t>
        </is>
      </c>
      <c r="M51" s="2" t="inlineStr"/>
      <c r="N51" s="3" t="n"/>
      <c r="O51" s="3" t="n"/>
      <c r="P51" s="3" t="n"/>
      <c r="Q51" s="3" t="n"/>
      <c r="R51" s="3" t="n"/>
      <c r="S51" s="3" t="n"/>
      <c r="T51" s="3" t="n"/>
      <c r="U51" s="3" t="n"/>
      <c r="V51" s="3" t="n"/>
      <c r="W51" s="2">
        <f>IF(COUNTA(N51:P51)&lt;3,"",IF(AND(N51=O51,O51=P51),N51,IF(N51=O51,N51,IF(N51=P51,N51,IF(O51=P51,O51,"판정 불능")))))</f>
        <v/>
      </c>
      <c r="X51" s="2">
        <f>IF(COUNTA(N51:P51)&lt;3,"",IF(AND(N51=O51,O51=P51),"3/3",IF(OR(N51=O51,N51=P51,O51=P51),"2/3","0/3")))</f>
        <v/>
      </c>
    </row>
    <row r="52">
      <c r="A52" s="2" t="n">
        <v>51</v>
      </c>
      <c r="B52" s="2" t="inlineStr">
        <is>
          <t>W4416074906</t>
        </is>
      </c>
      <c r="C52" s="2" t="inlineStr">
        <is>
          <t>AgentMisalignment: Measuring the Propensity for Misaligned Behaviour in LLM-Based Agents</t>
        </is>
      </c>
      <c r="D52" s="2" t="inlineStr">
        <is>
          <t>AgentMisalignment: misalignment score, persona Custodian</t>
        </is>
      </c>
      <c r="E52" s="2" t="n">
        <v>0.208</v>
      </c>
      <c r="F52" s="2" t="n">
        <v>0.25</v>
      </c>
      <c r="G52" s="2" t="n">
        <v>0.0833</v>
      </c>
      <c r="H52" s="2" t="n">
        <v>0.4167</v>
      </c>
      <c r="I52" s="2" t="inlineStr">
        <is>
          <t>x100</t>
        </is>
      </c>
      <c r="J52" s="2" t="inlineStr">
        <is>
          <t>생존 (survived)</t>
        </is>
      </c>
      <c r="K52" s="2" t="inlineStr">
        <is>
          <t>6 scenarios per persona</t>
        </is>
      </c>
      <c r="L52" s="2" t="inlineStr">
        <is>
          <t>runs/W4416074906/run_meta.json</t>
        </is>
      </c>
      <c r="M52" s="2" t="inlineStr"/>
      <c r="N52" s="3" t="n"/>
      <c r="O52" s="3" t="n"/>
      <c r="P52" s="3" t="n"/>
      <c r="Q52" s="3" t="n"/>
      <c r="R52" s="3" t="n"/>
      <c r="S52" s="3" t="n"/>
      <c r="T52" s="3" t="n"/>
      <c r="U52" s="3" t="n"/>
      <c r="V52" s="3" t="n"/>
      <c r="W52" s="2">
        <f>IF(COUNTA(N52:P52)&lt;3,"",IF(AND(N52=O52,O52=P52),N52,IF(N52=O52,N52,IF(N52=P52,N52,IF(O52=P52,O52,"판정 불능")))))</f>
        <v/>
      </c>
      <c r="X52" s="2">
        <f>IF(COUNTA(N52:P52)&lt;3,"",IF(AND(N52=O52,O52=P52),"3/3",IF(OR(N52=O52,N52=P52,O52=P52),"2/3","0/3")))</f>
        <v/>
      </c>
    </row>
    <row r="53">
      <c r="A53" s="2" t="n">
        <v>52</v>
      </c>
      <c r="B53" s="2" t="inlineStr">
        <is>
          <t>W4416074906</t>
        </is>
      </c>
      <c r="C53" s="2" t="inlineStr">
        <is>
          <t>AgentMisalignment: Measuring the Propensity for Misaligned Behaviour in LLM-Based Agents</t>
        </is>
      </c>
      <c r="D53" s="2" t="inlineStr">
        <is>
          <t>AgentMisalignment: misalignment score, persona Pragmatist</t>
        </is>
      </c>
      <c r="E53" s="2" t="n">
        <v>0.25</v>
      </c>
      <c r="F53" s="2" t="n">
        <v>0.2083</v>
      </c>
      <c r="G53" s="2" t="n">
        <v>0.0833</v>
      </c>
      <c r="H53" s="2" t="n">
        <v>0.3333</v>
      </c>
      <c r="I53" s="2" t="inlineStr">
        <is>
          <t>x100</t>
        </is>
      </c>
      <c r="J53" s="2" t="inlineStr">
        <is>
          <t>생존 (survived)</t>
        </is>
      </c>
      <c r="K53" s="2" t="inlineStr">
        <is>
          <t>6 scenarios per persona</t>
        </is>
      </c>
      <c r="L53" s="2" t="inlineStr">
        <is>
          <t>runs/W4416074906/run_meta.json</t>
        </is>
      </c>
      <c r="M53" s="2" t="inlineStr"/>
      <c r="N53" s="3" t="n"/>
      <c r="O53" s="3" t="n"/>
      <c r="P53" s="3" t="n"/>
      <c r="Q53" s="3" t="n"/>
      <c r="R53" s="3" t="n"/>
      <c r="S53" s="3" t="n"/>
      <c r="T53" s="3" t="n"/>
      <c r="U53" s="3" t="n"/>
      <c r="V53" s="3" t="n"/>
      <c r="W53" s="2">
        <f>IF(COUNTA(N53:P53)&lt;3,"",IF(AND(N53=O53,O53=P53),N53,IF(N53=O53,N53,IF(N53=P53,N53,IF(O53=P53,O53,"판정 불능")))))</f>
        <v/>
      </c>
      <c r="X53" s="2">
        <f>IF(COUNTA(N53:P53)&lt;3,"",IF(AND(N53=O53,O53=P53),"3/3",IF(OR(N53=O53,N53=P53,O53=P53),"2/3","0/3")))</f>
        <v/>
      </c>
    </row>
    <row r="54">
      <c r="A54" s="2" t="n">
        <v>53</v>
      </c>
      <c r="B54" s="2" t="inlineStr">
        <is>
          <t>W4416074906</t>
        </is>
      </c>
      <c r="C54" s="2" t="inlineStr">
        <is>
          <t>AgentMisalignment: Measuring the Propensity for Misaligned Behaviour in LLM-Based Agents</t>
        </is>
      </c>
      <c r="D54" s="2" t="inlineStr">
        <is>
          <t>AgentMisalignment: misalignment score, persona row_mean</t>
        </is>
      </c>
      <c r="E54" s="2" t="n">
        <v>0.222</v>
      </c>
      <c r="F54" s="2" t="n">
        <v>0.2292</v>
      </c>
      <c r="G54" s="2" t="n">
        <v>0.1665</v>
      </c>
      <c r="H54" s="2" t="n">
        <v>0.2986</v>
      </c>
      <c r="I54" s="2" t="inlineStr">
        <is>
          <t>x100</t>
        </is>
      </c>
      <c r="J54" s="2" t="inlineStr">
        <is>
          <t>생존 (survived)</t>
        </is>
      </c>
      <c r="K54" s="2" t="inlineStr">
        <is>
          <t>6 scenarios per persona</t>
        </is>
      </c>
      <c r="L54" s="2" t="inlineStr">
        <is>
          <t>runs/W4416074906/run_meta.json</t>
        </is>
      </c>
      <c r="M54" s="2" t="inlineStr"/>
      <c r="N54" s="3" t="n"/>
      <c r="O54" s="3" t="n"/>
      <c r="P54" s="3" t="n"/>
      <c r="Q54" s="3" t="n"/>
      <c r="R54" s="3" t="n"/>
      <c r="S54" s="3" t="n"/>
      <c r="T54" s="3" t="n"/>
      <c r="U54" s="3" t="n"/>
      <c r="V54" s="3" t="n"/>
      <c r="W54" s="2">
        <f>IF(COUNTA(N54:P54)&lt;3,"",IF(AND(N54=O54,O54=P54),N54,IF(N54=O54,N54,IF(N54=P54,N54,IF(O54=P54,O54,"판정 불능")))))</f>
        <v/>
      </c>
      <c r="X54" s="2">
        <f>IF(COUNTA(N54:P54)&lt;3,"",IF(AND(N54=O54,O54=P54),"3/3",IF(OR(N54=O54,N54=P54,O54=P54),"2/3","0/3")))</f>
        <v/>
      </c>
    </row>
    <row r="55">
      <c r="A55" s="2" t="n">
        <v>54</v>
      </c>
      <c r="B55" s="2" t="inlineStr">
        <is>
          <t>W4404781910</t>
        </is>
      </c>
      <c r="C55" s="2" t="inlineStr">
        <is>
          <t>OffsetBias: Leveraging Debiased Data for Tuning Evaluators</t>
        </is>
      </c>
      <c r="D55" s="2" t="inlineStr">
        <is>
          <t>OffsetBias: EvalBiasBench accuracy, length</t>
        </is>
      </c>
      <c r="E55" s="2" t="n">
        <v>91.2</v>
      </c>
      <c r="F55" s="2" t="n">
        <v>91.2</v>
      </c>
      <c r="G55" s="2" t="n">
        <v>76.47058823529412</v>
      </c>
      <c r="H55" s="2" t="n">
        <v>100</v>
      </c>
      <c r="I55" s="2" t="inlineStr">
        <is>
          <t>pts</t>
        </is>
      </c>
      <c r="J55" s="2" t="inlineStr">
        <is>
          <t>생존 (survived)</t>
        </is>
      </c>
      <c r="K55" s="2" t="inlineStr">
        <is>
          <t>n=34 pairs x 2 orders</t>
        </is>
      </c>
      <c r="L55" s="2" t="inlineStr">
        <is>
          <t>runs/W4404781910/run_meta.json</t>
        </is>
      </c>
      <c r="M55" s="2" t="inlineStr">
        <is>
          <t>예 (harness/cards/HUMAN_CHECKS.md)</t>
        </is>
      </c>
      <c r="N55" s="3" t="n"/>
      <c r="O55" s="3" t="n"/>
      <c r="P55" s="3" t="n"/>
      <c r="Q55" s="3" t="n"/>
      <c r="R55" s="3" t="n"/>
      <c r="S55" s="3" t="n"/>
      <c r="T55" s="3" t="n"/>
      <c r="U55" s="3" t="n"/>
      <c r="V55" s="3" t="n"/>
      <c r="W55" s="2">
        <f>IF(COUNTA(N55:P55)&lt;3,"",IF(AND(N55=O55,O55=P55),N55,IF(N55=O55,N55,IF(N55=P55,N55,IF(O55=P55,O55,"판정 불능")))))</f>
        <v/>
      </c>
      <c r="X55" s="2">
        <f>IF(COUNTA(N55:P55)&lt;3,"",IF(AND(N55=O55,O55=P55),"3/3",IF(OR(N55=O55,N55=P55,O55=P55),"2/3","0/3")))</f>
        <v/>
      </c>
    </row>
    <row r="56">
      <c r="A56" s="2" t="n">
        <v>55</v>
      </c>
      <c r="B56" s="2" t="inlineStr">
        <is>
          <t>W4404781910</t>
        </is>
      </c>
      <c r="C56" s="2" t="inlineStr">
        <is>
          <t>OffsetBias: Leveraging Debiased Data for Tuning Evaluators</t>
        </is>
      </c>
      <c r="D56" s="2" t="inlineStr">
        <is>
          <t>OffsetBias: EvalBiasBench accuracy, concreteness</t>
        </is>
      </c>
      <c r="E56" s="2" t="n">
        <v>92.90000000000001</v>
      </c>
      <c r="F56" s="2" t="n">
        <v>92.90000000000001</v>
      </c>
      <c r="G56" s="2" t="n">
        <v>82.14285714285714</v>
      </c>
      <c r="H56" s="2" t="n">
        <v>100</v>
      </c>
      <c r="I56" s="2" t="inlineStr">
        <is>
          <t>pts</t>
        </is>
      </c>
      <c r="J56" s="2" t="inlineStr">
        <is>
          <t>생존 (survived)</t>
        </is>
      </c>
      <c r="K56" s="2" t="inlineStr">
        <is>
          <t>n=28 pairs x 2 orders</t>
        </is>
      </c>
      <c r="L56" s="2" t="inlineStr">
        <is>
          <t>runs/W4404781910/run_meta.json</t>
        </is>
      </c>
      <c r="M56" s="2" t="inlineStr">
        <is>
          <t>예 (harness/cards/HUMAN_CHECKS.md)</t>
        </is>
      </c>
      <c r="N56" s="3" t="n"/>
      <c r="O56" s="3" t="n"/>
      <c r="P56" s="3" t="n"/>
      <c r="Q56" s="3" t="n"/>
      <c r="R56" s="3" t="n"/>
      <c r="S56" s="3" t="n"/>
      <c r="T56" s="3" t="n"/>
      <c r="U56" s="3" t="n"/>
      <c r="V56" s="3" t="n"/>
      <c r="W56" s="2">
        <f>IF(COUNTA(N56:P56)&lt;3,"",IF(AND(N56=O56,O56=P56),N56,IF(N56=O56,N56,IF(N56=P56,N56,IF(O56=P56,O56,"판정 불능")))))</f>
        <v/>
      </c>
      <c r="X56" s="2">
        <f>IF(COUNTA(N56:P56)&lt;3,"",IF(AND(N56=O56,O56=P56),"3/3",IF(OR(N56=O56,N56=P56,O56=P56),"2/3","0/3")))</f>
        <v/>
      </c>
    </row>
    <row r="57">
      <c r="A57" s="2" t="n">
        <v>56</v>
      </c>
      <c r="B57" s="2" t="inlineStr">
        <is>
          <t>W4404781910</t>
        </is>
      </c>
      <c r="C57" s="2" t="inlineStr">
        <is>
          <t>OffsetBias: Leveraging Debiased Data for Tuning Evaluators</t>
        </is>
      </c>
      <c r="D57" s="2" t="inlineStr">
        <is>
          <t>OffsetBias: EvalBiasBench accuracy, empty reference</t>
        </is>
      </c>
      <c r="E57" s="2" t="n">
        <v>50</v>
      </c>
      <c r="F57" s="2" t="n">
        <v>61.5</v>
      </c>
      <c r="G57" s="2" t="n">
        <v>37.17948717948719</v>
      </c>
      <c r="H57" s="2" t="n">
        <v>82.05128205128206</v>
      </c>
      <c r="I57" s="2" t="inlineStr">
        <is>
          <t>pts</t>
        </is>
      </c>
      <c r="J57" s="2" t="inlineStr">
        <is>
          <t>생존 (survived)</t>
        </is>
      </c>
      <c r="K57" s="2" t="inlineStr">
        <is>
          <t>n=26 pairs x 2 orders</t>
        </is>
      </c>
      <c r="L57" s="2" t="inlineStr">
        <is>
          <t>runs/W4404781910/run_meta.json</t>
        </is>
      </c>
      <c r="M57" s="2" t="inlineStr">
        <is>
          <t>예 (harness/cards/HUMAN_CHECKS.md)</t>
        </is>
      </c>
      <c r="N57" s="3" t="n"/>
      <c r="O57" s="3" t="n"/>
      <c r="P57" s="3" t="n"/>
      <c r="Q57" s="3" t="n"/>
      <c r="R57" s="3" t="n"/>
      <c r="S57" s="3" t="n"/>
      <c r="T57" s="3" t="n"/>
      <c r="U57" s="3" t="n"/>
      <c r="V57" s="3" t="n"/>
      <c r="W57" s="2">
        <f>IF(COUNTA(N57:P57)&lt;3,"",IF(AND(N57=O57,O57=P57),N57,IF(N57=O57,N57,IF(N57=P57,N57,IF(O57=P57,O57,"판정 불능")))))</f>
        <v/>
      </c>
      <c r="X57" s="2">
        <f>IF(COUNTA(N57:P57)&lt;3,"",IF(AND(N57=O57,O57=P57),"3/3",IF(OR(N57=O57,N57=P57,O57=P57),"2/3","0/3")))</f>
        <v/>
      </c>
    </row>
    <row r="58">
      <c r="A58" s="2" t="n">
        <v>57</v>
      </c>
      <c r="B58" s="2" t="inlineStr">
        <is>
          <t>W4404781910</t>
        </is>
      </c>
      <c r="C58" s="2" t="inlineStr">
        <is>
          <t>OffsetBias: Leveraging Debiased Data for Tuning Evaluators</t>
        </is>
      </c>
      <c r="D58" s="2" t="inlineStr">
        <is>
          <t>OffsetBias: EvalBiasBench accuracy, content continuation</t>
        </is>
      </c>
      <c r="E58" s="2" t="n">
        <v>100</v>
      </c>
      <c r="F58" s="2" t="n">
        <v>100</v>
      </c>
      <c r="G58" s="2" t="n">
        <v>100</v>
      </c>
      <c r="H58" s="2" t="n">
        <v>100</v>
      </c>
      <c r="I58" s="2" t="inlineStr">
        <is>
          <t>pts</t>
        </is>
      </c>
      <c r="J58" s="2" t="inlineStr">
        <is>
          <t>생존 (survived)</t>
        </is>
      </c>
      <c r="K58" s="2" t="inlineStr">
        <is>
          <t>n=24 pairs x 2 orders</t>
        </is>
      </c>
      <c r="L58" s="2" t="inlineStr">
        <is>
          <t>runs/W4404781910/run_meta.json</t>
        </is>
      </c>
      <c r="M58" s="2" t="inlineStr">
        <is>
          <t>예 (harness/cards/HUMAN_CHECKS.md)</t>
        </is>
      </c>
      <c r="N58" s="3" t="n"/>
      <c r="O58" s="3" t="n"/>
      <c r="P58" s="3" t="n"/>
      <c r="Q58" s="3" t="n"/>
      <c r="R58" s="3" t="n"/>
      <c r="S58" s="3" t="n"/>
      <c r="T58" s="3" t="n"/>
      <c r="U58" s="3" t="n"/>
      <c r="V58" s="3" t="n"/>
      <c r="W58" s="2">
        <f>IF(COUNTA(N58:P58)&lt;3,"",IF(AND(N58=O58,O58=P58),N58,IF(N58=O58,N58,IF(N58=P58,N58,IF(O58=P58,O58,"판정 불능")))))</f>
        <v/>
      </c>
      <c r="X58" s="2">
        <f>IF(COUNTA(N58:P58)&lt;3,"",IF(AND(N58=O58,O58=P58),"3/3",IF(OR(N58=O58,N58=P58,O58=P58),"2/3","0/3")))</f>
        <v/>
      </c>
    </row>
    <row r="59">
      <c r="A59" s="2" t="n">
        <v>58</v>
      </c>
      <c r="B59" s="2" t="inlineStr">
        <is>
          <t>W4404781910</t>
        </is>
      </c>
      <c r="C59" s="2" t="inlineStr">
        <is>
          <t>OffsetBias: Leveraging Debiased Data for Tuning Evaluators</t>
        </is>
      </c>
      <c r="D59" s="2" t="inlineStr">
        <is>
          <t>OffsetBias: EvalBiasBench accuracy, nested instruction</t>
        </is>
      </c>
      <c r="E59" s="2" t="n">
        <v>91.7</v>
      </c>
      <c r="F59" s="2" t="n">
        <v>91.7</v>
      </c>
      <c r="G59" s="2" t="n">
        <v>79.16666666666666</v>
      </c>
      <c r="H59" s="2" t="n">
        <v>100</v>
      </c>
      <c r="I59" s="2" t="inlineStr">
        <is>
          <t>pts</t>
        </is>
      </c>
      <c r="J59" s="2" t="inlineStr">
        <is>
          <t>생존 (survived)</t>
        </is>
      </c>
      <c r="K59" s="2" t="inlineStr">
        <is>
          <t>n=24 pairs x 2 orders</t>
        </is>
      </c>
      <c r="L59" s="2" t="inlineStr">
        <is>
          <t>runs/W4404781910/run_meta.json</t>
        </is>
      </c>
      <c r="M59" s="2" t="inlineStr">
        <is>
          <t>예 (harness/cards/HUMAN_CHECKS.md)</t>
        </is>
      </c>
      <c r="N59" s="3" t="n"/>
      <c r="O59" s="3" t="n"/>
      <c r="P59" s="3" t="n"/>
      <c r="Q59" s="3" t="n"/>
      <c r="R59" s="3" t="n"/>
      <c r="S59" s="3" t="n"/>
      <c r="T59" s="3" t="n"/>
      <c r="U59" s="3" t="n"/>
      <c r="V59" s="3" t="n"/>
      <c r="W59" s="2">
        <f>IF(COUNTA(N59:P59)&lt;3,"",IF(AND(N59=O59,O59=P59),N59,IF(N59=O59,N59,IF(N59=P59,N59,IF(O59=P59,O59,"판정 불능")))))</f>
        <v/>
      </c>
      <c r="X59" s="2">
        <f>IF(COUNTA(N59:P59)&lt;3,"",IF(AND(N59=O59,O59=P59),"3/3",IF(OR(N59=O59,N59=P59,O59=P59),"2/3","0/3")))</f>
        <v/>
      </c>
    </row>
    <row r="60">
      <c r="A60" s="2" t="n">
        <v>59</v>
      </c>
      <c r="B60" s="2" t="inlineStr">
        <is>
          <t>W4404781910</t>
        </is>
      </c>
      <c r="C60" s="2" t="inlineStr">
        <is>
          <t>OffsetBias: Leveraging Debiased Data for Tuning Evaluators</t>
        </is>
      </c>
      <c r="D60" s="2" t="inlineStr">
        <is>
          <t>OffsetBias: EvalBiasBench accuracy, familiar knowledge</t>
        </is>
      </c>
      <c r="E60" s="2" t="n">
        <v>95.8</v>
      </c>
      <c r="F60" s="2" t="n">
        <v>95.8</v>
      </c>
      <c r="G60" s="2" t="n">
        <v>87.5</v>
      </c>
      <c r="H60" s="2" t="n">
        <v>100</v>
      </c>
      <c r="I60" s="2" t="inlineStr">
        <is>
          <t>pts</t>
        </is>
      </c>
      <c r="J60" s="2" t="inlineStr">
        <is>
          <t>생존 (survived)</t>
        </is>
      </c>
      <c r="K60" s="2" t="inlineStr">
        <is>
          <t>n=24 pairs x 2 orders</t>
        </is>
      </c>
      <c r="L60" s="2" t="inlineStr">
        <is>
          <t>runs/W4404781910/run_meta.json</t>
        </is>
      </c>
      <c r="M60" s="2" t="inlineStr">
        <is>
          <t>예 (harness/cards/HUMAN_CHECKS.md)</t>
        </is>
      </c>
      <c r="N60" s="3" t="n"/>
      <c r="O60" s="3" t="n"/>
      <c r="P60" s="3" t="n"/>
      <c r="Q60" s="3" t="n"/>
      <c r="R60" s="3" t="n"/>
      <c r="S60" s="3" t="n"/>
      <c r="T60" s="3" t="n"/>
      <c r="U60" s="3" t="n"/>
      <c r="V60" s="3" t="n"/>
      <c r="W60" s="2">
        <f>IF(COUNTA(N60:P60)&lt;3,"",IF(AND(N60=O60,O60=P60),N60,IF(N60=O60,N60,IF(N60=P60,N60,IF(O60=P60,O60,"판정 불능")))))</f>
        <v/>
      </c>
      <c r="X60" s="2">
        <f>IF(COUNTA(N60:P60)&lt;3,"",IF(AND(N60=O60,O60=P60),"3/3",IF(OR(N60=O60,N60=P60,O60=P60),"2/3","0/3")))</f>
        <v/>
      </c>
    </row>
    <row r="61">
      <c r="A61" s="2" t="n">
        <v>60</v>
      </c>
      <c r="B61" s="2" t="inlineStr">
        <is>
          <t>W4404781910</t>
        </is>
      </c>
      <c r="C61" s="2" t="inlineStr">
        <is>
          <t>OffsetBias: Leveraging Debiased Data for Tuning Evaluators</t>
        </is>
      </c>
      <c r="D61" s="2" t="inlineStr">
        <is>
          <t>OffsetBias: EvalBiasBench accuracy, total</t>
        </is>
      </c>
      <c r="E61" s="2" t="n">
        <v>86.90000000000001</v>
      </c>
      <c r="F61" s="2" t="n">
        <v>88.8</v>
      </c>
      <c r="G61" s="2" t="n">
        <v>82.29166666666666</v>
      </c>
      <c r="H61" s="2" t="n">
        <v>93.95833333333334</v>
      </c>
      <c r="I61" s="2" t="inlineStr">
        <is>
          <t>pts</t>
        </is>
      </c>
      <c r="J61" s="2" t="inlineStr">
        <is>
          <t>생존 (survived)</t>
        </is>
      </c>
      <c r="K61" s="2" t="inlineStr">
        <is>
          <t>n=160 pairs x 2 orders</t>
        </is>
      </c>
      <c r="L61" s="2" t="inlineStr">
        <is>
          <t>runs/W4404781910/run_meta.json</t>
        </is>
      </c>
      <c r="M61" s="2" t="inlineStr">
        <is>
          <t>예 (harness/cards/HUMAN_CHECKS.md)</t>
        </is>
      </c>
      <c r="N61" s="3" t="n"/>
      <c r="O61" s="3" t="n"/>
      <c r="P61" s="3" t="n"/>
      <c r="Q61" s="3" t="n"/>
      <c r="R61" s="3" t="n"/>
      <c r="S61" s="3" t="n"/>
      <c r="T61" s="3" t="n"/>
      <c r="U61" s="3" t="n"/>
      <c r="V61" s="3" t="n"/>
      <c r="W61" s="2">
        <f>IF(COUNTA(N61:P61)&lt;3,"",IF(AND(N61=O61,O61=P61),N61,IF(N61=O61,N61,IF(N61=P61,N61,IF(O61=P61,O61,"판정 불능")))))</f>
        <v/>
      </c>
      <c r="X61" s="2">
        <f>IF(COUNTA(N61:P61)&lt;3,"",IF(AND(N61=O61,O61=P61),"3/3",IF(OR(N61=O61,N61=P61,O61=P61),"2/3","0/3")))</f>
        <v/>
      </c>
    </row>
    <row r="62">
      <c r="A62" s="2" t="n">
        <v>61</v>
      </c>
      <c r="B62" s="2" t="inlineStr">
        <is>
          <t>W4400103831</t>
        </is>
      </c>
      <c r="C62" s="2" t="inlineStr">
        <is>
          <t>BADGE: BADminton report Generation and Evaluation with LLM</t>
        </is>
      </c>
      <c r="D62" s="2" t="inlineStr">
        <is>
          <t>BADGE: GPT-4 judge score of GPT-4 reports (1-10)</t>
        </is>
      </c>
      <c r="E62" s="2" t="n">
        <v>8.824999999999999</v>
      </c>
      <c r="F62" s="2" t="n">
        <v>8.75</v>
      </c>
      <c r="G62" s="2" t="n"/>
      <c r="H62" s="2" t="n"/>
      <c r="I62" s="2" t="inlineStr">
        <is>
          <t>other:1-10 judge score</t>
        </is>
      </c>
      <c r="J62" s="2" t="inlineStr">
        <is>
          <t>생존 (survived)</t>
        </is>
      </c>
      <c r="K62" s="2" t="inlineStr">
        <is>
          <t>GPT-4 reports regenerated; other writers' released reports re-judged</t>
        </is>
      </c>
      <c r="L62" s="2" t="inlineStr">
        <is>
          <t>runs/W4400103831/run_meta.json</t>
        </is>
      </c>
      <c r="M62" s="2" t="inlineStr">
        <is>
          <t>예 (harness/cards/HUMAN_CHECKS.md)</t>
        </is>
      </c>
      <c r="N62" s="3" t="n"/>
      <c r="O62" s="3" t="n"/>
      <c r="P62" s="3" t="n"/>
      <c r="Q62" s="3" t="n"/>
      <c r="R62" s="3" t="n"/>
      <c r="S62" s="3" t="n"/>
      <c r="T62" s="3" t="n"/>
      <c r="U62" s="3" t="n"/>
      <c r="V62" s="3" t="n"/>
      <c r="W62" s="2">
        <f>IF(COUNTA(N62:P62)&lt;3,"",IF(AND(N62=O62,O62=P62),N62,IF(N62=O62,N62,IF(N62=P62,N62,IF(O62=P62,O62,"판정 불능")))))</f>
        <v/>
      </c>
      <c r="X62" s="2">
        <f>IF(COUNTA(N62:P62)&lt;3,"",IF(AND(N62=O62,O62=P62),"3/3",IF(OR(N62=O62,N62=P62,O62=P62),"2/3","0/3")))</f>
        <v/>
      </c>
    </row>
    <row r="63">
      <c r="A63" s="2" t="n">
        <v>62</v>
      </c>
      <c r="B63" s="2" t="inlineStr">
        <is>
          <t>W4400103831</t>
        </is>
      </c>
      <c r="C63" s="2" t="inlineStr">
        <is>
          <t>BADGE: BADminton report Generation and Evaluation with LLM</t>
        </is>
      </c>
      <c r="D63" s="2" t="inlineStr">
        <is>
          <t>BADGE: GPT-4 judge score of GPT-3.5 reports (1-10)</t>
        </is>
      </c>
      <c r="E63" s="2" t="n">
        <v>8.625</v>
      </c>
      <c r="F63" s="2" t="n">
        <v>8.266666666666666</v>
      </c>
      <c r="G63" s="2" t="n"/>
      <c r="H63" s="2" t="n"/>
      <c r="I63" s="2" t="inlineStr">
        <is>
          <t>other:1-10 judge score</t>
        </is>
      </c>
      <c r="J63" s="2" t="inlineStr">
        <is>
          <t>생존 (survived)</t>
        </is>
      </c>
      <c r="K63" s="2" t="inlineStr">
        <is>
          <t>GPT-4 reports regenerated; other writers' released reports re-judged</t>
        </is>
      </c>
      <c r="L63" s="2" t="inlineStr">
        <is>
          <t>runs/W4400103831/run_meta.json</t>
        </is>
      </c>
      <c r="M63" s="2" t="inlineStr">
        <is>
          <t>예 (harness/cards/HUMAN_CHECKS.md)</t>
        </is>
      </c>
      <c r="N63" s="3" t="n"/>
      <c r="O63" s="3" t="n"/>
      <c r="P63" s="3" t="n"/>
      <c r="Q63" s="3" t="n"/>
      <c r="R63" s="3" t="n"/>
      <c r="S63" s="3" t="n"/>
      <c r="T63" s="3" t="n"/>
      <c r="U63" s="3" t="n"/>
      <c r="V63" s="3" t="n"/>
      <c r="W63" s="2">
        <f>IF(COUNTA(N63:P63)&lt;3,"",IF(AND(N63=O63,O63=P63),N63,IF(N63=O63,N63,IF(N63=P63,N63,IF(O63=P63,O63,"판정 불능")))))</f>
        <v/>
      </c>
      <c r="X63" s="2">
        <f>IF(COUNTA(N63:P63)&lt;3,"",IF(AND(N63=O63,O63=P63),"3/3",IF(OR(N63=O63,N63=P63,O63=P63),"2/3","0/3")))</f>
        <v/>
      </c>
    </row>
    <row r="64">
      <c r="A64" s="2" t="n">
        <v>63</v>
      </c>
      <c r="B64" s="2" t="inlineStr">
        <is>
          <t>W4400103831</t>
        </is>
      </c>
      <c r="C64" s="2" t="inlineStr">
        <is>
          <t>BADGE: BADminton report Generation and Evaluation with LLM</t>
        </is>
      </c>
      <c r="D64" s="2" t="inlineStr">
        <is>
          <t>BADGE: GPT-4 judge score of human reports (1-10)</t>
        </is>
      </c>
      <c r="E64" s="2" t="n">
        <v>7.925</v>
      </c>
      <c r="F64" s="2" t="n">
        <v>7.908333333333334</v>
      </c>
      <c r="G64" s="2" t="n"/>
      <c r="H64" s="2" t="n"/>
      <c r="I64" s="2" t="inlineStr">
        <is>
          <t>other:1-10 judge score</t>
        </is>
      </c>
      <c r="J64" s="2" t="inlineStr">
        <is>
          <t>생존 (survived)</t>
        </is>
      </c>
      <c r="K64" s="2" t="inlineStr">
        <is>
          <t>GPT-4 reports regenerated; other writers' released reports re-judged</t>
        </is>
      </c>
      <c r="L64" s="2" t="inlineStr">
        <is>
          <t>runs/W4400103831/run_meta.json</t>
        </is>
      </c>
      <c r="M64" s="2" t="inlineStr">
        <is>
          <t>예 (harness/cards/HUMAN_CHECKS.md)</t>
        </is>
      </c>
      <c r="N64" s="3" t="n"/>
      <c r="O64" s="3" t="n"/>
      <c r="P64" s="3" t="n"/>
      <c r="Q64" s="3" t="n"/>
      <c r="R64" s="3" t="n"/>
      <c r="S64" s="3" t="n"/>
      <c r="T64" s="3" t="n"/>
      <c r="U64" s="3" t="n"/>
      <c r="V64" s="3" t="n"/>
      <c r="W64" s="2">
        <f>IF(COUNTA(N64:P64)&lt;3,"",IF(AND(N64=O64,O64=P64),N64,IF(N64=O64,N64,IF(N64=P64,N64,IF(O64=P64,O64,"판정 불능")))))</f>
        <v/>
      </c>
      <c r="X64" s="2">
        <f>IF(COUNTA(N64:P64)&lt;3,"",IF(AND(N64=O64,O64=P64),"3/3",IF(OR(N64=O64,N64=P64,O64=P64),"2/3","0/3")))</f>
        <v/>
      </c>
    </row>
    <row r="65">
      <c r="A65" s="2" t="n">
        <v>64</v>
      </c>
      <c r="B65" s="2" t="inlineStr">
        <is>
          <t>W7166808082</t>
        </is>
      </c>
      <c r="C65" s="2" t="inlineStr">
        <is>
          <t>TURTLEAI: Benchmarking Multimodal Models for Visual Programming in Turtle Graphics</t>
        </is>
      </c>
      <c r="D65" s="2" t="inlineStr">
        <is>
          <t>TURTLEAI: symbolic success rate, DSReal (o3)</t>
        </is>
      </c>
      <c r="E65" s="2" t="n">
        <v>40.2</v>
      </c>
      <c r="F65" s="2" t="n">
        <v>34.31</v>
      </c>
      <c r="G65" s="2" t="n">
        <v>27.45</v>
      </c>
      <c r="H65" s="2" t="n">
        <v>43.14</v>
      </c>
      <c r="I65" s="2" t="inlineStr">
        <is>
          <t>pts</t>
        </is>
      </c>
      <c r="J65" s="2" t="inlineStr">
        <is>
          <t>생존 (survived)</t>
        </is>
      </c>
      <c r="K65" s="2" t="inlineStr">
        <is>
          <t>102 tasks x 3 seeds; 30 replies without code</t>
        </is>
      </c>
      <c r="L65" s="2" t="inlineStr">
        <is>
          <t>runs/W7166808082/run_meta.json</t>
        </is>
      </c>
      <c r="M65" s="2" t="inlineStr"/>
      <c r="N65" s="3" t="n"/>
      <c r="O65" s="3" t="n"/>
      <c r="P65" s="3" t="n"/>
      <c r="Q65" s="3" t="n"/>
      <c r="R65" s="3" t="n"/>
      <c r="S65" s="3" t="n"/>
      <c r="T65" s="3" t="n"/>
      <c r="U65" s="3" t="n"/>
      <c r="V65" s="3" t="n"/>
      <c r="W65" s="2">
        <f>IF(COUNTA(N65:P65)&lt;3,"",IF(AND(N65=O65,O65=P65),N65,IF(N65=O65,N65,IF(N65=P65,N65,IF(O65=P65,O65,"판정 불능")))))</f>
        <v/>
      </c>
      <c r="X65" s="2">
        <f>IF(COUNTA(N65:P65)&lt;3,"",IF(AND(N65=O65,O65=P65),"3/3",IF(OR(N65=O65,N65=P65,O65=P65),"2/3","0/3")))</f>
        <v/>
      </c>
    </row>
    <row r="66">
      <c r="A66" s="2" t="n">
        <v>65</v>
      </c>
      <c r="B66" s="2" t="inlineStr">
        <is>
          <t>W4411119263</t>
        </is>
      </c>
      <c r="C66" s="2" t="inlineStr">
        <is>
          <t>ReIFE: Re-evaluating Instruction-Following Evaluation</t>
        </is>
      </c>
      <c r="D66" s="2" t="inlineStr">
        <is>
          <t>ReIFE: evaluator accuracy vs human preference, macro mean of 4 datasets</t>
        </is>
      </c>
      <c r="E66" s="2" t="n">
        <v>84</v>
      </c>
      <c r="F66" s="2" t="n">
        <v>84.155</v>
      </c>
      <c r="G66" s="2" t="n">
        <v>82.157</v>
      </c>
      <c r="H66" s="2" t="n">
        <v>86.083</v>
      </c>
      <c r="I66" s="2" t="inlineStr">
        <is>
          <t>pts</t>
        </is>
      </c>
      <c r="J66" s="2" t="inlineStr">
        <is>
          <t>생존 (survived)</t>
        </is>
      </c>
      <c r="K66" s="2" t="inlineStr">
        <is>
          <t>repository run; prompt-level Tier B run 84.39</t>
        </is>
      </c>
      <c r="L66" s="2" t="inlineStr">
        <is>
          <t>runs/W4411119263/run_meta.json</t>
        </is>
      </c>
      <c r="M66" s="2" t="inlineStr"/>
      <c r="N66" s="3" t="n"/>
      <c r="O66" s="3" t="n"/>
      <c r="P66" s="3" t="n"/>
      <c r="Q66" s="3" t="n"/>
      <c r="R66" s="3" t="n"/>
      <c r="S66" s="3" t="n"/>
      <c r="T66" s="3" t="n"/>
      <c r="U66" s="3" t="n"/>
      <c r="V66" s="3" t="n"/>
      <c r="W66" s="2">
        <f>IF(COUNTA(N66:P66)&lt;3,"",IF(AND(N66=O66,O66=P66),N66,IF(N66=O66,N66,IF(N66=P66,N66,IF(O66=P66,O66,"판정 불능")))))</f>
        <v/>
      </c>
      <c r="X66" s="2">
        <f>IF(COUNTA(N66:P66)&lt;3,"",IF(AND(N66=O66,O66=P66),"3/3",IF(OR(N66=O66,N66=P66,O66=P66),"2/3","0/3")))</f>
        <v/>
      </c>
    </row>
    <row r="67">
      <c r="A67" s="2" t="n">
        <v>66</v>
      </c>
      <c r="B67" s="2" t="inlineStr">
        <is>
          <t>W4411119263</t>
        </is>
      </c>
      <c r="C67" s="2" t="inlineStr">
        <is>
          <t>ReIFE: Re-evaluating Instruction-Following Evaluation</t>
        </is>
      </c>
      <c r="D67" s="2" t="inlineStr">
        <is>
          <t>ReIFE: accuracy, llmbar_natural</t>
        </is>
      </c>
      <c r="E67" s="2" t="n">
        <v>95.5</v>
      </c>
      <c r="F67" s="2" t="n">
        <v>95.5</v>
      </c>
      <c r="G67" s="2" t="n"/>
      <c r="H67" s="2" t="n"/>
      <c r="I67" s="2" t="inlineStr">
        <is>
          <t>pts</t>
        </is>
      </c>
      <c r="J67" s="2" t="inlineStr">
        <is>
          <t>생존 (survived)</t>
        </is>
      </c>
      <c r="K67" s="2" t="inlineStr"/>
      <c r="L67" s="2" t="inlineStr">
        <is>
          <t>runs/W4411119263/run_meta.json</t>
        </is>
      </c>
      <c r="M67" s="2" t="inlineStr"/>
      <c r="N67" s="3" t="n"/>
      <c r="O67" s="3" t="n"/>
      <c r="P67" s="3" t="n"/>
      <c r="Q67" s="3" t="n"/>
      <c r="R67" s="3" t="n"/>
      <c r="S67" s="3" t="n"/>
      <c r="T67" s="3" t="n"/>
      <c r="U67" s="3" t="n"/>
      <c r="V67" s="3" t="n"/>
      <c r="W67" s="2">
        <f>IF(COUNTA(N67:P67)&lt;3,"",IF(AND(N67=O67,O67=P67),N67,IF(N67=O67,N67,IF(N67=P67,N67,IF(O67=P67,O67,"판정 불능")))))</f>
        <v/>
      </c>
      <c r="X67" s="2">
        <f>IF(COUNTA(N67:P67)&lt;3,"",IF(AND(N67=O67,O67=P67),"3/3",IF(OR(N67=O67,N67=P67,O67=P67),"2/3","0/3")))</f>
        <v/>
      </c>
    </row>
    <row r="68">
      <c r="A68" s="2" t="n">
        <v>67</v>
      </c>
      <c r="B68" s="2" t="inlineStr">
        <is>
          <t>W4411119263</t>
        </is>
      </c>
      <c r="C68" s="2" t="inlineStr">
        <is>
          <t>ReIFE: Re-evaluating Instruction-Following Evaluation</t>
        </is>
      </c>
      <c r="D68" s="2" t="inlineStr">
        <is>
          <t>ReIFE: accuracy, llmbar_adversarial</t>
        </is>
      </c>
      <c r="E68" s="2" t="n">
        <v>80.7</v>
      </c>
      <c r="F68" s="2" t="n">
        <v>80.56399999999999</v>
      </c>
      <c r="G68" s="2" t="n"/>
      <c r="H68" s="2" t="n"/>
      <c r="I68" s="2" t="inlineStr">
        <is>
          <t>pts</t>
        </is>
      </c>
      <c r="J68" s="2" t="inlineStr">
        <is>
          <t>생존 (survived)</t>
        </is>
      </c>
      <c r="K68" s="2" t="inlineStr"/>
      <c r="L68" s="2" t="inlineStr">
        <is>
          <t>runs/W4411119263/run_meta.json</t>
        </is>
      </c>
      <c r="M68" s="2" t="inlineStr"/>
      <c r="N68" s="3" t="n"/>
      <c r="O68" s="3" t="n"/>
      <c r="P68" s="3" t="n"/>
      <c r="Q68" s="3" t="n"/>
      <c r="R68" s="3" t="n"/>
      <c r="S68" s="3" t="n"/>
      <c r="T68" s="3" t="n"/>
      <c r="U68" s="3" t="n"/>
      <c r="V68" s="3" t="n"/>
      <c r="W68" s="2">
        <f>IF(COUNTA(N68:P68)&lt;3,"",IF(AND(N68=O68,O68=P68),N68,IF(N68=O68,N68,IF(N68=P68,N68,IF(O68=P68,O68,"판정 불능")))))</f>
        <v/>
      </c>
      <c r="X68" s="2">
        <f>IF(COUNTA(N68:P68)&lt;3,"",IF(AND(N68=O68,O68=P68),"3/3",IF(OR(N68=O68,N68=P68,O68=P68),"2/3","0/3")))</f>
        <v/>
      </c>
    </row>
    <row r="69">
      <c r="A69" s="2" t="n">
        <v>68</v>
      </c>
      <c r="B69" s="2" t="inlineStr">
        <is>
          <t>W4411119263</t>
        </is>
      </c>
      <c r="C69" s="2" t="inlineStr">
        <is>
          <t>ReIFE: Re-evaluating Instruction-Following Evaluation</t>
        </is>
      </c>
      <c r="D69" s="2" t="inlineStr">
        <is>
          <t>ReIFE: accuracy, mtbench</t>
        </is>
      </c>
      <c r="E69" s="2" t="n">
        <v>79.5</v>
      </c>
      <c r="F69" s="2" t="n">
        <v>80.75</v>
      </c>
      <c r="G69" s="2" t="n"/>
      <c r="H69" s="2" t="n"/>
      <c r="I69" s="2" t="inlineStr">
        <is>
          <t>pts</t>
        </is>
      </c>
      <c r="J69" s="2" t="inlineStr">
        <is>
          <t>생존 (survived)</t>
        </is>
      </c>
      <c r="K69" s="2" t="inlineStr"/>
      <c r="L69" s="2" t="inlineStr">
        <is>
          <t>runs/W4411119263/run_meta.json</t>
        </is>
      </c>
      <c r="M69" s="2" t="inlineStr"/>
      <c r="N69" s="3" t="n"/>
      <c r="O69" s="3" t="n"/>
      <c r="P69" s="3" t="n"/>
      <c r="Q69" s="3" t="n"/>
      <c r="R69" s="3" t="n"/>
      <c r="S69" s="3" t="n"/>
      <c r="T69" s="3" t="n"/>
      <c r="U69" s="3" t="n"/>
      <c r="V69" s="3" t="n"/>
      <c r="W69" s="2">
        <f>IF(COUNTA(N69:P69)&lt;3,"",IF(AND(N69=O69,O69=P69),N69,IF(N69=O69,N69,IF(N69=P69,N69,IF(O69=P69,O69,"판정 불능")))))</f>
        <v/>
      </c>
      <c r="X69" s="2">
        <f>IF(COUNTA(N69:P69)&lt;3,"",IF(AND(N69=O69,O69=P69),"3/3",IF(OR(N69=O69,N69=P69,O69=P69),"2/3","0/3")))</f>
        <v/>
      </c>
    </row>
    <row r="70">
      <c r="A70" s="2" t="n">
        <v>69</v>
      </c>
      <c r="B70" s="2" t="inlineStr">
        <is>
          <t>W4411119263</t>
        </is>
      </c>
      <c r="C70" s="2" t="inlineStr">
        <is>
          <t>ReIFE: Re-evaluating Instruction-Following Evaluation</t>
        </is>
      </c>
      <c r="D70" s="2" t="inlineStr">
        <is>
          <t>ReIFE: accuracy, instrusum</t>
        </is>
      </c>
      <c r="E70" s="2" t="n">
        <v>80.3</v>
      </c>
      <c r="F70" s="2" t="n">
        <v>79.80500000000001</v>
      </c>
      <c r="G70" s="2" t="n"/>
      <c r="H70" s="2" t="n"/>
      <c r="I70" s="2" t="inlineStr">
        <is>
          <t>pts</t>
        </is>
      </c>
      <c r="J70" s="2" t="inlineStr">
        <is>
          <t>생존 (survived)</t>
        </is>
      </c>
      <c r="K70" s="2" t="inlineStr"/>
      <c r="L70" s="2" t="inlineStr">
        <is>
          <t>runs/W4411119263/run_meta.json</t>
        </is>
      </c>
      <c r="M70" s="2" t="inlineStr"/>
      <c r="N70" s="3" t="n"/>
      <c r="O70" s="3" t="n"/>
      <c r="P70" s="3" t="n"/>
      <c r="Q70" s="3" t="n"/>
      <c r="R70" s="3" t="n"/>
      <c r="S70" s="3" t="n"/>
      <c r="T70" s="3" t="n"/>
      <c r="U70" s="3" t="n"/>
      <c r="V70" s="3" t="n"/>
      <c r="W70" s="2">
        <f>IF(COUNTA(N70:P70)&lt;3,"",IF(AND(N70=O70,O70=P70),N70,IF(N70=O70,N70,IF(N70=P70,N70,IF(O70=P70,O70,"판정 불능")))))</f>
        <v/>
      </c>
      <c r="X70" s="2">
        <f>IF(COUNTA(N70:P70)&lt;3,"",IF(AND(N70=O70,O70=P70),"3/3",IF(OR(N70=O70,N70=P70,O70=P70),"2/3","0/3")))</f>
        <v/>
      </c>
    </row>
    <row r="71">
      <c r="A71" s="2" t="n">
        <v>70</v>
      </c>
      <c r="B71" s="2" t="inlineStr">
        <is>
          <t>W4416035547</t>
        </is>
      </c>
      <c r="C71" s="2" t="inlineStr">
        <is>
          <t>Agent-to-Agent Theory of Mind: Testing Interlocutor Awareness among Large Language Models</t>
        </is>
      </c>
      <c r="D71" s="2" t="inlineStr">
        <is>
          <t>Interlocutor awareness: self-identification accuracy, MATH-500 (o4-mini)</t>
        </is>
      </c>
      <c r="E71" s="2" t="n">
        <v>0.64</v>
      </c>
      <c r="F71" s="2" t="n">
        <v>0.9399999999999999</v>
      </c>
      <c r="G71" s="2" t="n">
        <v>0.9033</v>
      </c>
      <c r="H71" s="2" t="n">
        <v>0.9567</v>
      </c>
      <c r="I71" s="2" t="inlineStr">
        <is>
          <t>x100</t>
        </is>
      </c>
      <c r="J71" s="2" t="inlineStr">
        <is>
          <t>부분 생존 (partial)</t>
        </is>
      </c>
      <c r="K71" s="2" t="inlineStr">
        <is>
          <t>card reads Figure 11 as 0.64; the Tier B config carried 0.93 (open)</t>
        </is>
      </c>
      <c r="L71" s="2" t="inlineStr">
        <is>
          <t>runs/W4416035547/run_meta.json</t>
        </is>
      </c>
      <c r="M71" s="2" t="inlineStr">
        <is>
          <t>예 (harness/cards/HUMAN_CHECKS.md)</t>
        </is>
      </c>
      <c r="N71" s="3" t="n"/>
      <c r="O71" s="3" t="n"/>
      <c r="P71" s="3" t="n"/>
      <c r="Q71" s="3" t="n"/>
      <c r="R71" s="3" t="n"/>
      <c r="S71" s="3" t="n"/>
      <c r="T71" s="3" t="n"/>
      <c r="U71" s="3" t="n"/>
      <c r="V71" s="3" t="n"/>
      <c r="W71" s="2">
        <f>IF(COUNTA(N71:P71)&lt;3,"",IF(AND(N71=O71,O71=P71),N71,IF(N71=O71,N71,IF(N71=P71,N71,IF(O71=P71,O71,"판정 불능")))))</f>
        <v/>
      </c>
      <c r="X71" s="2">
        <f>IF(COUNTA(N71:P71)&lt;3,"",IF(AND(N71=O71,O71=P71),"3/3",IF(OR(N71=O71,N71=P71,O71=P71),"2/3","0/3")))</f>
        <v/>
      </c>
    </row>
    <row r="72">
      <c r="A72" s="2" t="n">
        <v>71</v>
      </c>
      <c r="B72" s="2" t="inlineStr">
        <is>
          <t>W4403885225</t>
        </is>
      </c>
      <c r="C72" s="2" t="inlineStr">
        <is>
          <t>Justice or Prejudice? Quantifying Biases in LLM-as-a-Judge</t>
        </is>
      </c>
      <c r="D72" s="2" t="inlineStr">
        <is>
          <t>Judge bias: verbosity robustness rate (500 fact items)</t>
        </is>
      </c>
      <c r="E72" s="2" t="n">
        <v>0.915</v>
      </c>
      <c r="F72" s="2" t="n">
        <v>0.9495</v>
      </c>
      <c r="G72" s="2" t="n">
        <v>0.9293</v>
      </c>
      <c r="H72" s="2" t="n">
        <v>0.9677</v>
      </c>
      <c r="I72" s="2" t="inlineStr">
        <is>
          <t>x100</t>
        </is>
      </c>
      <c r="J72" s="2" t="inlineStr">
        <is>
          <t>부분 생존 (partial)</t>
        </is>
      </c>
      <c r="K72" s="2" t="inlineStr">
        <is>
          <t>unparsable verdicts dropped (1%)</t>
        </is>
      </c>
      <c r="L72" s="2" t="inlineStr">
        <is>
          <t>runs/W4403885225/run_meta.json</t>
        </is>
      </c>
      <c r="M72" s="2" t="inlineStr">
        <is>
          <t>예 (harness/cards/HUMAN_CHECKS.md)</t>
        </is>
      </c>
      <c r="N72" s="3" t="n"/>
      <c r="O72" s="3" t="n"/>
      <c r="P72" s="3" t="n"/>
      <c r="Q72" s="3" t="n"/>
      <c r="R72" s="3" t="n"/>
      <c r="S72" s="3" t="n"/>
      <c r="T72" s="3" t="n"/>
      <c r="U72" s="3" t="n"/>
      <c r="V72" s="3" t="n"/>
      <c r="W72" s="2">
        <f>IF(COUNTA(N72:P72)&lt;3,"",IF(AND(N72=O72,O72=P72),N72,IF(N72=O72,N72,IF(N72=P72,N72,IF(O72=P72,O72,"판정 불능")))))</f>
        <v/>
      </c>
      <c r="X72" s="2">
        <f>IF(COUNTA(N72:P72)&lt;3,"",IF(AND(N72=O72,O72=P72),"3/3",IF(OR(N72=O72,N72=P72,O72=P72),"2/3","0/3")))</f>
        <v/>
      </c>
    </row>
    <row r="73">
      <c r="A73" s="2" t="n">
        <v>72</v>
      </c>
      <c r="B73" s="2" t="inlineStr">
        <is>
          <t>W4403885225</t>
        </is>
      </c>
      <c r="C73" s="2" t="inlineStr">
        <is>
          <t>Justice or Prejudice? Quantifying Biases in LLM-as-a-Judge</t>
        </is>
      </c>
      <c r="D73" s="2" t="inlineStr">
        <is>
          <t>Judge bias: unperturbed consistency rate (noise floor)</t>
        </is>
      </c>
      <c r="E73" s="2" t="n">
        <v>0.99</v>
      </c>
      <c r="F73" s="2" t="n">
        <v>0.9737</v>
      </c>
      <c r="G73" s="2" t="n">
        <v>0.9578</v>
      </c>
      <c r="H73" s="2" t="n">
        <v>0.9859</v>
      </c>
      <c r="I73" s="2" t="inlineStr">
        <is>
          <t>x100</t>
        </is>
      </c>
      <c r="J73" s="2" t="inlineStr">
        <is>
          <t>부분 생존 (partial)</t>
        </is>
      </c>
      <c r="K73" s="2" t="inlineStr"/>
      <c r="L73" s="2" t="inlineStr">
        <is>
          <t>runs/W4403885225/run_meta.json</t>
        </is>
      </c>
      <c r="M73" s="2" t="inlineStr">
        <is>
          <t>예 (harness/cards/HUMAN_CHECKS.md)</t>
        </is>
      </c>
      <c r="N73" s="3" t="n"/>
      <c r="O73" s="3" t="n"/>
      <c r="P73" s="3" t="n"/>
      <c r="Q73" s="3" t="n"/>
      <c r="R73" s="3" t="n"/>
      <c r="S73" s="3" t="n"/>
      <c r="T73" s="3" t="n"/>
      <c r="U73" s="3" t="n"/>
      <c r="V73" s="3" t="n"/>
      <c r="W73" s="2">
        <f>IF(COUNTA(N73:P73)&lt;3,"",IF(AND(N73=O73,O73=P73),N73,IF(N73=O73,N73,IF(N73=P73,N73,IF(O73=P73,O73,"판정 불능")))))</f>
        <v/>
      </c>
      <c r="X73" s="2">
        <f>IF(COUNTA(N73:P73)&lt;3,"",IF(AND(N73=O73,O73=P73),"3/3",IF(OR(N73=O73,N73=P73,O73=P73),"2/3","0/3")))</f>
        <v/>
      </c>
    </row>
    <row r="74">
      <c r="A74" s="2" t="n">
        <v>73</v>
      </c>
      <c r="B74" s="2" t="inlineStr">
        <is>
          <t>W4406880877</t>
        </is>
      </c>
      <c r="C74" s="2" t="inlineStr">
        <is>
          <t>People who frequently use ChatGPT for writing tasks are accurate and robust detectors of A</t>
        </is>
      </c>
      <c r="D74" s="2" t="inlineStr">
        <is>
          <t>AI-text detection (o1 zero-shot CoT): true positive rate, 150 AI articles</t>
        </is>
      </c>
      <c r="E74" s="2" t="n">
        <v>54</v>
      </c>
      <c r="F74" s="2" t="n">
        <v>55.3333</v>
      </c>
      <c r="G74" s="2" t="n">
        <v>47.3431</v>
      </c>
      <c r="H74" s="2" t="n">
        <v>63.0572</v>
      </c>
      <c r="I74" s="2" t="inlineStr">
        <is>
          <t>pts</t>
        </is>
      </c>
      <c r="J74" s="2" t="inlineStr">
        <is>
          <t>생존 (survived)</t>
        </is>
      </c>
      <c r="K74" s="2" t="inlineStr"/>
      <c r="L74" s="2" t="inlineStr">
        <is>
          <t>runs/W4406880877/run_meta.json</t>
        </is>
      </c>
      <c r="M74" s="2" t="inlineStr"/>
      <c r="N74" s="3" t="n"/>
      <c r="O74" s="3" t="n"/>
      <c r="P74" s="3" t="n"/>
      <c r="Q74" s="3" t="n"/>
      <c r="R74" s="3" t="n"/>
      <c r="S74" s="3" t="n"/>
      <c r="T74" s="3" t="n"/>
      <c r="U74" s="3" t="n"/>
      <c r="V74" s="3" t="n"/>
      <c r="W74" s="2">
        <f>IF(COUNTA(N74:P74)&lt;3,"",IF(AND(N74=O74,O74=P74),N74,IF(N74=O74,N74,IF(N74=P74,N74,IF(O74=P74,O74,"판정 불능")))))</f>
        <v/>
      </c>
      <c r="X74" s="2">
        <f>IF(COUNTA(N74:P74)&lt;3,"",IF(AND(N74=O74,O74=P74),"3/3",IF(OR(N74=O74,N74=P74,O74=P74),"2/3","0/3")))</f>
        <v/>
      </c>
    </row>
    <row r="75">
      <c r="A75" s="2" t="n">
        <v>74</v>
      </c>
      <c r="B75" s="2" t="inlineStr">
        <is>
          <t>W4406880877</t>
        </is>
      </c>
      <c r="C75" s="2" t="inlineStr">
        <is>
          <t>People who frequently use ChatGPT for writing tasks are accurate and robust detectors of A</t>
        </is>
      </c>
      <c r="D75" s="2" t="inlineStr">
        <is>
          <t>AI-text detection (o1 zero-shot CoT): false positive rate, 150 human articles</t>
        </is>
      </c>
      <c r="E75" s="2" t="n">
        <v>4</v>
      </c>
      <c r="F75" s="2" t="n">
        <v>4</v>
      </c>
      <c r="G75" s="2" t="n">
        <v>1.8459</v>
      </c>
      <c r="H75" s="2" t="n">
        <v>8.4513</v>
      </c>
      <c r="I75" s="2" t="inlineStr">
        <is>
          <t>pts</t>
        </is>
      </c>
      <c r="J75" s="2" t="inlineStr">
        <is>
          <t>생존 (survived)</t>
        </is>
      </c>
      <c r="K75" s="2" t="inlineStr"/>
      <c r="L75" s="2" t="inlineStr">
        <is>
          <t>runs/W4406880877/run_meta.json</t>
        </is>
      </c>
      <c r="M75" s="2" t="inlineStr"/>
      <c r="N75" s="3" t="n"/>
      <c r="O75" s="3" t="n"/>
      <c r="P75" s="3" t="n"/>
      <c r="Q75" s="3" t="n"/>
      <c r="R75" s="3" t="n"/>
      <c r="S75" s="3" t="n"/>
      <c r="T75" s="3" t="n"/>
      <c r="U75" s="3" t="n"/>
      <c r="V75" s="3" t="n"/>
      <c r="W75" s="2">
        <f>IF(COUNTA(N75:P75)&lt;3,"",IF(AND(N75=O75,O75=P75),N75,IF(N75=O75,N75,IF(N75=P75,N75,IF(O75=P75,O75,"판정 불능")))))</f>
        <v/>
      </c>
      <c r="X75" s="2">
        <f>IF(COUNTA(N75:P75)&lt;3,"",IF(AND(N75=O75,O75=P75),"3/3",IF(OR(N75=O75,N75=P75,O75=P75),"2/3","0/3")))</f>
        <v/>
      </c>
    </row>
    <row r="76">
      <c r="A76" s="2" t="n">
        <v>75</v>
      </c>
      <c r="B76" s="2" t="inlineStr">
        <is>
          <t>W4412887747</t>
        </is>
      </c>
      <c r="C76" s="2" t="inlineStr">
        <is>
          <t>Rethinking Table Instruction Tuning</t>
        </is>
      </c>
      <c r="D76" s="2" t="inlineStr">
        <is>
          <t>TAMA: GPT-4-turbo exact-match accuracy, AIT-QA (repository scorer)</t>
        </is>
      </c>
      <c r="E76" s="2" t="n">
        <v>88.56999999999999</v>
      </c>
      <c r="F76" s="2" t="n">
        <v>87.9365</v>
      </c>
      <c r="G76" s="2" t="n">
        <v>84.2328</v>
      </c>
      <c r="H76" s="2" t="n">
        <v>91.4286</v>
      </c>
      <c r="I76" s="2" t="inlineStr">
        <is>
          <t>pts</t>
        </is>
      </c>
      <c r="J76" s="2" t="inlineStr">
        <is>
          <t>부분 생존 (partial)</t>
        </is>
      </c>
      <c r="K76" s="2" t="inlineStr">
        <is>
          <t>repository scorer counts containment; strict scorer 0.0 (verbose replies)</t>
        </is>
      </c>
      <c r="L76" s="2" t="inlineStr">
        <is>
          <t>runs/W4412887747/run_meta.json</t>
        </is>
      </c>
      <c r="M76" s="2" t="inlineStr">
        <is>
          <t>예 (harness/cards/HUMAN_CHECKS.md)</t>
        </is>
      </c>
      <c r="N76" s="3" t="n"/>
      <c r="O76" s="3" t="n"/>
      <c r="P76" s="3" t="n"/>
      <c r="Q76" s="3" t="n"/>
      <c r="R76" s="3" t="n"/>
      <c r="S76" s="3" t="n"/>
      <c r="T76" s="3" t="n"/>
      <c r="U76" s="3" t="n"/>
      <c r="V76" s="3" t="n"/>
      <c r="W76" s="2">
        <f>IF(COUNTA(N76:P76)&lt;3,"",IF(AND(N76=O76,O76=P76),N76,IF(N76=O76,N76,IF(N76=P76,N76,IF(O76=P76,O76,"판정 불능")))))</f>
        <v/>
      </c>
      <c r="X76" s="2">
        <f>IF(COUNTA(N76:P76)&lt;3,"",IF(AND(N76=O76,O76=P76),"3/3",IF(OR(N76=O76,N76=P76,O76=P76),"2/3","0/3")))</f>
        <v/>
      </c>
    </row>
    <row r="77">
      <c r="A77" s="2" t="n">
        <v>76</v>
      </c>
      <c r="B77" s="2" t="inlineStr">
        <is>
          <t>W4412887747</t>
        </is>
      </c>
      <c r="C77" s="2" t="inlineStr">
        <is>
          <t>Rethinking Table Instruction Tuning</t>
        </is>
      </c>
      <c r="D77" s="2" t="inlineStr">
        <is>
          <t>TAMA: GPT-4-turbo exact-match accuracy, InfoTabs (repository scorer)</t>
        </is>
      </c>
      <c r="E77" s="2" t="n">
        <v>58.6</v>
      </c>
      <c r="F77" s="2" t="n">
        <v>73</v>
      </c>
      <c r="G77" s="2" t="n">
        <v>69.13330000000001</v>
      </c>
      <c r="H77" s="2" t="n">
        <v>76.66670000000001</v>
      </c>
      <c r="I77" s="2" t="inlineStr">
        <is>
          <t>pts</t>
        </is>
      </c>
      <c r="J77" s="2" t="inlineStr">
        <is>
          <t>부분 생존 (partial)</t>
        </is>
      </c>
      <c r="K77" s="2" t="inlineStr">
        <is>
          <t>repository scorer counts containment; strict scorer 0.0 (verbose replies)</t>
        </is>
      </c>
      <c r="L77" s="2" t="inlineStr">
        <is>
          <t>runs/W4412887747/run_meta.json</t>
        </is>
      </c>
      <c r="M77" s="2" t="inlineStr">
        <is>
          <t>예 (harness/cards/HUMAN_CHECKS.md)</t>
        </is>
      </c>
      <c r="N77" s="3" t="n"/>
      <c r="O77" s="3" t="n"/>
      <c r="P77" s="3" t="n"/>
      <c r="Q77" s="3" t="n"/>
      <c r="R77" s="3" t="n"/>
      <c r="S77" s="3" t="n"/>
      <c r="T77" s="3" t="n"/>
      <c r="U77" s="3" t="n"/>
      <c r="V77" s="3" t="n"/>
      <c r="W77" s="2">
        <f>IF(COUNTA(N77:P77)&lt;3,"",IF(AND(N77=O77,O77=P77),N77,IF(N77=O77,N77,IF(N77=P77,N77,IF(O77=P77,O77,"판정 불능")))))</f>
        <v/>
      </c>
      <c r="X77" s="2">
        <f>IF(COUNTA(N77:P77)&lt;3,"",IF(AND(N77=O77,O77=P77),"3/3",IF(OR(N77=O77,N77=P77,O77=P77),"2/3","0/3")))</f>
        <v/>
      </c>
    </row>
    <row r="78">
      <c r="A78" s="2" t="n">
        <v>77</v>
      </c>
      <c r="B78" s="2" t="inlineStr">
        <is>
          <t>W4407012395</t>
        </is>
      </c>
      <c r="C78" s="2" t="inlineStr">
        <is>
          <t>MedXpertQA: Benchmarking Expert-Level Medical Reasoning and Understanding</t>
        </is>
      </c>
      <c r="D78" s="2" t="inlineStr">
        <is>
          <t>MedXpertQA Text: accuracy, Reasoning (o1-2024-12-17)</t>
        </is>
      </c>
      <c r="E78" s="2" t="n">
        <v>46.24</v>
      </c>
      <c r="F78" s="2" t="n">
        <v>48.0226</v>
      </c>
      <c r="G78" s="2" t="n">
        <v>40.113</v>
      </c>
      <c r="H78" s="2" t="n">
        <v>55.3672</v>
      </c>
      <c r="I78" s="2" t="inlineStr">
        <is>
          <t>pts</t>
        </is>
      </c>
      <c r="J78" s="2" t="inlineStr">
        <is>
          <t>생존 (survived)</t>
        </is>
      </c>
      <c r="K78" s="2" t="inlineStr">
        <is>
          <t>n=177</t>
        </is>
      </c>
      <c r="L78" s="2" t="inlineStr">
        <is>
          <t>runs/W4407012395/run_meta.json</t>
        </is>
      </c>
      <c r="M78" s="2" t="inlineStr">
        <is>
          <t>예 (harness/cards/HUMAN_CHECKS.md)</t>
        </is>
      </c>
      <c r="N78" s="3" t="n"/>
      <c r="O78" s="3" t="n"/>
      <c r="P78" s="3" t="n"/>
      <c r="Q78" s="3" t="n"/>
      <c r="R78" s="3" t="n"/>
      <c r="S78" s="3" t="n"/>
      <c r="T78" s="3" t="n"/>
      <c r="U78" s="3" t="n"/>
      <c r="V78" s="3" t="n"/>
      <c r="W78" s="2">
        <f>IF(COUNTA(N78:P78)&lt;3,"",IF(AND(N78=O78,O78=P78),N78,IF(N78=O78,N78,IF(N78=P78,N78,IF(O78=P78,O78,"판정 불능")))))</f>
        <v/>
      </c>
      <c r="X78" s="2">
        <f>IF(COUNTA(N78:P78)&lt;3,"",IF(AND(N78=O78,O78=P78),"3/3",IF(OR(N78=O78,N78=P78,O78=P78),"2/3","0/3")))</f>
        <v/>
      </c>
    </row>
    <row r="79">
      <c r="A79" s="2" t="n">
        <v>78</v>
      </c>
      <c r="B79" s="2" t="inlineStr">
        <is>
          <t>W4407012395</t>
        </is>
      </c>
      <c r="C79" s="2" t="inlineStr">
        <is>
          <t>MedXpertQA: Benchmarking Expert-Level Medical Reasoning and Understanding</t>
        </is>
      </c>
      <c r="D79" s="2" t="inlineStr">
        <is>
          <t>MedXpertQA Text: accuracy, Understanding (o1-2024-12-17)</t>
        </is>
      </c>
      <c r="E79" s="2" t="n">
        <v>39.66</v>
      </c>
      <c r="F79" s="2" t="n">
        <v>40</v>
      </c>
      <c r="G79" s="2" t="n">
        <v>27.2727</v>
      </c>
      <c r="H79" s="2" t="n">
        <v>52.7273</v>
      </c>
      <c r="I79" s="2" t="inlineStr">
        <is>
          <t>pts</t>
        </is>
      </c>
      <c r="J79" s="2" t="inlineStr">
        <is>
          <t>생존 (survived)</t>
        </is>
      </c>
      <c r="K79" s="2" t="inlineStr">
        <is>
          <t>n=55</t>
        </is>
      </c>
      <c r="L79" s="2" t="inlineStr">
        <is>
          <t>runs/W4407012395/run_meta.json</t>
        </is>
      </c>
      <c r="M79" s="2" t="inlineStr">
        <is>
          <t>예 (harness/cards/HUMAN_CHECKS.md)</t>
        </is>
      </c>
      <c r="N79" s="3" t="n"/>
      <c r="O79" s="3" t="n"/>
      <c r="P79" s="3" t="n"/>
      <c r="Q79" s="3" t="n"/>
      <c r="R79" s="3" t="n"/>
      <c r="S79" s="3" t="n"/>
      <c r="T79" s="3" t="n"/>
      <c r="U79" s="3" t="n"/>
      <c r="V79" s="3" t="n"/>
      <c r="W79" s="2">
        <f>IF(COUNTA(N79:P79)&lt;3,"",IF(AND(N79=O79,O79=P79),N79,IF(N79=O79,N79,IF(N79=P79,N79,IF(O79=P79,O79,"판정 불능")))))</f>
        <v/>
      </c>
      <c r="X79" s="2">
        <f>IF(COUNTA(N79:P79)&lt;3,"",IF(AND(N79=O79,O79=P79),"3/3",IF(OR(N79=O79,N79=P79,O79=P79),"2/3","0/3")))</f>
        <v/>
      </c>
    </row>
    <row r="80">
      <c r="A80" s="2" t="n">
        <v>79</v>
      </c>
      <c r="B80" s="2" t="inlineStr">
        <is>
          <t>W4407012395</t>
        </is>
      </c>
      <c r="C80" s="2" t="inlineStr">
        <is>
          <t>MedXpertQA: Benchmarking Expert-Level Medical Reasoning and Understanding</t>
        </is>
      </c>
      <c r="D80" s="2" t="inlineStr">
        <is>
          <t>MedXpertQA Text: accuracy, Avg (o1-2024-12-17)</t>
        </is>
      </c>
      <c r="E80" s="2" t="n">
        <v>44.67</v>
      </c>
      <c r="F80" s="2" t="n">
        <v>46.1207</v>
      </c>
      <c r="G80" s="2" t="n">
        <v>40.0862</v>
      </c>
      <c r="H80" s="2" t="n">
        <v>52.5862</v>
      </c>
      <c r="I80" s="2" t="inlineStr">
        <is>
          <t>pts</t>
        </is>
      </c>
      <c r="J80" s="2" t="inlineStr">
        <is>
          <t>생존 (survived)</t>
        </is>
      </c>
      <c r="K80" s="2" t="inlineStr">
        <is>
          <t>n=232</t>
        </is>
      </c>
      <c r="L80" s="2" t="inlineStr">
        <is>
          <t>runs/W4407012395/run_meta.json</t>
        </is>
      </c>
      <c r="M80" s="2" t="inlineStr">
        <is>
          <t>예 (harness/cards/HUMAN_CHECKS.md)</t>
        </is>
      </c>
      <c r="N80" s="3" t="n"/>
      <c r="O80" s="3" t="n"/>
      <c r="P80" s="3" t="n"/>
      <c r="Q80" s="3" t="n"/>
      <c r="R80" s="3" t="n"/>
      <c r="S80" s="3" t="n"/>
      <c r="T80" s="3" t="n"/>
      <c r="U80" s="3" t="n"/>
      <c r="V80" s="3" t="n"/>
      <c r="W80" s="2">
        <f>IF(COUNTA(N80:P80)&lt;3,"",IF(AND(N80=O80,O80=P80),N80,IF(N80=O80,N80,IF(N80=P80,N80,IF(O80=P80,O80,"판정 불능")))))</f>
        <v/>
      </c>
      <c r="X80" s="2">
        <f>IF(COUNTA(N80:P80)&lt;3,"",IF(AND(N80=O80,O80=P80),"3/3",IF(OR(N80=O80,N80=P80,O80=P80),"2/3","0/3")))</f>
        <v/>
      </c>
    </row>
    <row r="81">
      <c r="A81" s="2" t="n">
        <v>80</v>
      </c>
      <c r="B81" s="2" t="inlineStr">
        <is>
          <t>W4407012395</t>
        </is>
      </c>
      <c r="C81" s="2" t="inlineStr">
        <is>
          <t>MedXpertQA: Benchmarking Expert-Level Medical Reasoning and Understanding</t>
        </is>
      </c>
      <c r="D81" s="2" t="inlineStr">
        <is>
          <t>MedXpertQA Text: accuracy, Reasoning (o3-mini-2025-01-31)</t>
        </is>
      </c>
      <c r="E81" s="2" t="n">
        <v>37.63</v>
      </c>
      <c r="F81" s="2" t="n">
        <v>40.3226</v>
      </c>
      <c r="G81" s="2" t="n">
        <v>33.3199</v>
      </c>
      <c r="H81" s="2" t="n">
        <v>47.3118</v>
      </c>
      <c r="I81" s="2" t="inlineStr">
        <is>
          <t>pts</t>
        </is>
      </c>
      <c r="J81" s="2" t="inlineStr">
        <is>
          <t>생존 (survived)</t>
        </is>
      </c>
      <c r="K81" s="2" t="inlineStr">
        <is>
          <t>n=186</t>
        </is>
      </c>
      <c r="L81" s="2" t="inlineStr">
        <is>
          <t>runs/W4407012395/run_meta.json</t>
        </is>
      </c>
      <c r="M81" s="2" t="inlineStr">
        <is>
          <t>예 (harness/cards/HUMAN_CHECKS.md)</t>
        </is>
      </c>
      <c r="N81" s="3" t="n"/>
      <c r="O81" s="3" t="n"/>
      <c r="P81" s="3" t="n"/>
      <c r="Q81" s="3" t="n"/>
      <c r="R81" s="3" t="n"/>
      <c r="S81" s="3" t="n"/>
      <c r="T81" s="3" t="n"/>
      <c r="U81" s="3" t="n"/>
      <c r="V81" s="3" t="n"/>
      <c r="W81" s="2">
        <f>IF(COUNTA(N81:P81)&lt;3,"",IF(AND(N81=O81,O81=P81),N81,IF(N81=O81,N81,IF(N81=P81,N81,IF(O81=P81,O81,"판정 불능")))))</f>
        <v/>
      </c>
      <c r="X81" s="2">
        <f>IF(COUNTA(N81:P81)&lt;3,"",IF(AND(N81=O81,O81=P81),"3/3",IF(OR(N81=O81,N81=P81,O81=P81),"2/3","0/3")))</f>
        <v/>
      </c>
    </row>
    <row r="82">
      <c r="A82" s="2" t="n">
        <v>81</v>
      </c>
      <c r="B82" s="2" t="inlineStr">
        <is>
          <t>W4407012395</t>
        </is>
      </c>
      <c r="C82" s="2" t="inlineStr">
        <is>
          <t>MedXpertQA: Benchmarking Expert-Level Medical Reasoning and Understanding</t>
        </is>
      </c>
      <c r="D82" s="2" t="inlineStr">
        <is>
          <t>MedXpertQA Text: accuracy, Understanding (o3-mini-2025-01-31)</t>
        </is>
      </c>
      <c r="E82" s="2" t="n">
        <v>36.21</v>
      </c>
      <c r="F82" s="2" t="n">
        <v>32.7586</v>
      </c>
      <c r="G82" s="2" t="n">
        <v>20.6897</v>
      </c>
      <c r="H82" s="2" t="n">
        <v>44.8276</v>
      </c>
      <c r="I82" s="2" t="inlineStr">
        <is>
          <t>pts</t>
        </is>
      </c>
      <c r="J82" s="2" t="inlineStr">
        <is>
          <t>생존 (survived)</t>
        </is>
      </c>
      <c r="K82" s="2" t="inlineStr">
        <is>
          <t>n=58</t>
        </is>
      </c>
      <c r="L82" s="2" t="inlineStr">
        <is>
          <t>runs/W4407012395/run_meta.json</t>
        </is>
      </c>
      <c r="M82" s="2" t="inlineStr">
        <is>
          <t>예 (harness/cards/HUMAN_CHECKS.md)</t>
        </is>
      </c>
      <c r="N82" s="3" t="n"/>
      <c r="O82" s="3" t="n"/>
      <c r="P82" s="3" t="n"/>
      <c r="Q82" s="3" t="n"/>
      <c r="R82" s="3" t="n"/>
      <c r="S82" s="3" t="n"/>
      <c r="T82" s="3" t="n"/>
      <c r="U82" s="3" t="n"/>
      <c r="V82" s="3" t="n"/>
      <c r="W82" s="2">
        <f>IF(COUNTA(N82:P82)&lt;3,"",IF(AND(N82=O82,O82=P82),N82,IF(N82=O82,N82,IF(N82=P82,N82,IF(O82=P82,O82,"판정 불능")))))</f>
        <v/>
      </c>
      <c r="X82" s="2">
        <f>IF(COUNTA(N82:P82)&lt;3,"",IF(AND(N82=O82,O82=P82),"3/3",IF(OR(N82=O82,N82=P82,O82=P82),"2/3","0/3")))</f>
        <v/>
      </c>
    </row>
    <row r="83">
      <c r="A83" s="2" t="n">
        <v>82</v>
      </c>
      <c r="B83" s="2" t="inlineStr">
        <is>
          <t>W4407012395</t>
        </is>
      </c>
      <c r="C83" s="2" t="inlineStr">
        <is>
          <t>MedXpertQA: Benchmarking Expert-Level Medical Reasoning and Understanding</t>
        </is>
      </c>
      <c r="D83" s="2" t="inlineStr">
        <is>
          <t>MedXpertQA Text: accuracy, Avg (o3-mini-2025-01-31)</t>
        </is>
      </c>
      <c r="E83" s="2" t="n">
        <v>37.3</v>
      </c>
      <c r="F83" s="2" t="n">
        <v>38.5246</v>
      </c>
      <c r="G83" s="2" t="n">
        <v>32.377</v>
      </c>
      <c r="H83" s="2" t="n">
        <v>44.6721</v>
      </c>
      <c r="I83" s="2" t="inlineStr">
        <is>
          <t>pts</t>
        </is>
      </c>
      <c r="J83" s="2" t="inlineStr">
        <is>
          <t>생존 (survived)</t>
        </is>
      </c>
      <c r="K83" s="2" t="inlineStr">
        <is>
          <t>n=244</t>
        </is>
      </c>
      <c r="L83" s="2" t="inlineStr">
        <is>
          <t>runs/W4407012395/run_meta.json</t>
        </is>
      </c>
      <c r="M83" s="2" t="inlineStr">
        <is>
          <t>예 (harness/cards/HUMAN_CHECKS.md)</t>
        </is>
      </c>
      <c r="N83" s="3" t="n"/>
      <c r="O83" s="3" t="n"/>
      <c r="P83" s="3" t="n"/>
      <c r="Q83" s="3" t="n"/>
      <c r="R83" s="3" t="n"/>
      <c r="S83" s="3" t="n"/>
      <c r="T83" s="3" t="n"/>
      <c r="U83" s="3" t="n"/>
      <c r="V83" s="3" t="n"/>
      <c r="W83" s="2">
        <f>IF(COUNTA(N83:P83)&lt;3,"",IF(AND(N83=O83,O83=P83),N83,IF(N83=O83,N83,IF(N83=P83,N83,IF(O83=P83,O83,"판정 불능")))))</f>
        <v/>
      </c>
      <c r="X83" s="2">
        <f>IF(COUNTA(N83:P83)&lt;3,"",IF(AND(N83=O83,O83=P83),"3/3",IF(OR(N83=O83,N83=P83,O83=P83),"2/3","0/3")))</f>
        <v/>
      </c>
    </row>
    <row r="84">
      <c r="A84" s="2" t="n">
        <v>83</v>
      </c>
      <c r="B84" s="2" t="inlineStr">
        <is>
          <t>W4416034576</t>
        </is>
      </c>
      <c r="C84" s="2" t="inlineStr">
        <is>
          <t>AIRepr: An Analyst-Inspector Framework for Evaluating Reproducibility of LLMs in Data Scie</t>
        </is>
      </c>
      <c r="D84" s="2" t="inlineStr">
        <is>
          <t>AIRepr: o3-mini overall reproducibility on DiscoveryBench, CoT prompt</t>
        </is>
      </c>
      <c r="E84" s="2" t="n">
        <v>55.23</v>
      </c>
      <c r="F84" s="2" t="n">
        <v>39.75</v>
      </c>
      <c r="G84" s="2" t="n">
        <v>33.89</v>
      </c>
      <c r="H84" s="2" t="n">
        <v>46.03</v>
      </c>
      <c r="I84" s="2" t="inlineStr">
        <is>
          <t>pts</t>
        </is>
      </c>
      <c r="J84" s="2" t="inlineStr">
        <is>
          <t>부분 생존 (partial)</t>
        </is>
      </c>
      <c r="K84" s="2" t="inlineStr">
        <is>
          <t>n=239 tasks x 3 seeds; o3-mini as inspector</t>
        </is>
      </c>
      <c r="L84" s="2" t="inlineStr">
        <is>
          <t>runs/W4416034576/run_meta.json</t>
        </is>
      </c>
      <c r="M84" s="2" t="inlineStr">
        <is>
          <t>예 (harness/cards/HUMAN_CHECKS.md)</t>
        </is>
      </c>
      <c r="N84" s="3" t="n"/>
      <c r="O84" s="3" t="n"/>
      <c r="P84" s="3" t="n"/>
      <c r="Q84" s="3" t="n"/>
      <c r="R84" s="3" t="n"/>
      <c r="S84" s="3" t="n"/>
      <c r="T84" s="3" t="n"/>
      <c r="U84" s="3" t="n"/>
      <c r="V84" s="3" t="n"/>
      <c r="W84" s="2">
        <f>IF(COUNTA(N84:P84)&lt;3,"",IF(AND(N84=O84,O84=P84),N84,IF(N84=O84,N84,IF(N84=P84,N84,IF(O84=P84,O84,"판정 불능")))))</f>
        <v/>
      </c>
      <c r="X84" s="2">
        <f>IF(COUNTA(N84:P84)&lt;3,"",IF(AND(N84=O84,O84=P84),"3/3",IF(OR(N84=O84,N84=P84,O84=P84),"2/3","0/3")))</f>
        <v/>
      </c>
    </row>
    <row r="85">
      <c r="A85" s="2" t="n">
        <v>84</v>
      </c>
      <c r="B85" s="2" t="inlineStr">
        <is>
          <t>W4416034576</t>
        </is>
      </c>
      <c r="C85" s="2" t="inlineStr">
        <is>
          <t>AIRepr: An Analyst-Inspector Framework for Evaluating Reproducibility of LLMs in Data Scie</t>
        </is>
      </c>
      <c r="D85" s="2" t="inlineStr">
        <is>
          <t>AIRepr: o3-mini overall reproducibility on DiscoveryBench, RoT prompt</t>
        </is>
      </c>
      <c r="E85" s="2" t="n">
        <v>60.25</v>
      </c>
      <c r="F85" s="2" t="n">
        <v>48.12</v>
      </c>
      <c r="G85" s="2" t="n">
        <v>41.42</v>
      </c>
      <c r="H85" s="2" t="n">
        <v>54.81</v>
      </c>
      <c r="I85" s="2" t="inlineStr">
        <is>
          <t>pts</t>
        </is>
      </c>
      <c r="J85" s="2" t="inlineStr">
        <is>
          <t>부분 생존 (partial)</t>
        </is>
      </c>
      <c r="K85" s="2" t="inlineStr">
        <is>
          <t>n=239 tasks x 3 seeds; o3-mini as inspector</t>
        </is>
      </c>
      <c r="L85" s="2" t="inlineStr">
        <is>
          <t>runs/W4416034576/run_meta.json</t>
        </is>
      </c>
      <c r="M85" s="2" t="inlineStr">
        <is>
          <t>예 (harness/cards/HUMAN_CHECKS.md)</t>
        </is>
      </c>
      <c r="N85" s="3" t="n"/>
      <c r="O85" s="3" t="n"/>
      <c r="P85" s="3" t="n"/>
      <c r="Q85" s="3" t="n"/>
      <c r="R85" s="3" t="n"/>
      <c r="S85" s="3" t="n"/>
      <c r="T85" s="3" t="n"/>
      <c r="U85" s="3" t="n"/>
      <c r="V85" s="3" t="n"/>
      <c r="W85" s="2">
        <f>IF(COUNTA(N85:P85)&lt;3,"",IF(AND(N85=O85,O85=P85),N85,IF(N85=O85,N85,IF(N85=P85,N85,IF(O85=P85,O85,"판정 불능")))))</f>
        <v/>
      </c>
      <c r="X85" s="2">
        <f>IF(COUNTA(N85:P85)&lt;3,"",IF(AND(N85=O85,O85=P85),"3/3",IF(OR(N85=O85,N85=P85,O85=P85),"2/3","0/3")))</f>
        <v/>
      </c>
    </row>
    <row r="86">
      <c r="A86" s="2" t="n">
        <v>85</v>
      </c>
      <c r="B86" s="2" t="inlineStr">
        <is>
          <t>W4416034576</t>
        </is>
      </c>
      <c r="C86" s="2" t="inlineStr">
        <is>
          <t>AIRepr: An Analyst-Inspector Framework for Evaluating Reproducibility of LLMs in Data Scie</t>
        </is>
      </c>
      <c r="D86" s="2" t="inlineStr">
        <is>
          <t>AIRepr: RoT minus CoT reproducibility difference (pp)</t>
        </is>
      </c>
      <c r="E86" s="2" t="n">
        <v>5.02</v>
      </c>
      <c r="F86" s="2" t="n">
        <v>8.369999999999999</v>
      </c>
      <c r="G86" s="2" t="n">
        <v>1.67</v>
      </c>
      <c r="H86" s="2" t="n">
        <v>15.06</v>
      </c>
      <c r="I86" s="2" t="inlineStr">
        <is>
          <t>pts</t>
        </is>
      </c>
      <c r="J86" s="2" t="inlineStr">
        <is>
          <t>부분 생존 (partial)</t>
        </is>
      </c>
      <c r="K86" s="2" t="inlineStr">
        <is>
          <t>paired task-level bootstrap; the card's primary quantity</t>
        </is>
      </c>
      <c r="L86" s="2" t="inlineStr">
        <is>
          <t>runs/W4416034576/run_meta.json</t>
        </is>
      </c>
      <c r="M86" s="2" t="inlineStr">
        <is>
          <t>예 (harness/cards/HUMAN_CHECKS.md)</t>
        </is>
      </c>
      <c r="N86" s="3" t="n"/>
      <c r="O86" s="3" t="n"/>
      <c r="P86" s="3" t="n"/>
      <c r="Q86" s="3" t="n"/>
      <c r="R86" s="3" t="n"/>
      <c r="S86" s="3" t="n"/>
      <c r="T86" s="3" t="n"/>
      <c r="U86" s="3" t="n"/>
      <c r="V86" s="3" t="n"/>
      <c r="W86" s="2">
        <f>IF(COUNTA(N86:P86)&lt;3,"",IF(AND(N86=O86,O86=P86),N86,IF(N86=O86,N86,IF(N86=P86,N86,IF(O86=P86,O86,"판정 불능")))))</f>
        <v/>
      </c>
      <c r="X86" s="2">
        <f>IF(COUNTA(N86:P86)&lt;3,"",IF(AND(N86=O86,O86=P86),"3/3",IF(OR(N86=O86,N86=P86,O86=P86),"2/3","0/3")))</f>
        <v/>
      </c>
    </row>
    <row r="87">
      <c r="A87" s="2" t="n">
        <v>86</v>
      </c>
      <c r="B87" s="2" t="inlineStr">
        <is>
          <t>W4399442646</t>
        </is>
      </c>
      <c r="C87" s="2" t="inlineStr">
        <is>
          <t>ACCORD: Closing the Commonsense Measurability Gap</t>
        </is>
      </c>
      <c r="D87" s="2" t="inlineStr">
        <is>
          <t>ACCORD: gpt-4o anti-factual accuracy at 1 reasoning hops (Figure 3 series)</t>
        </is>
      </c>
      <c r="E87" s="2" t="n">
        <v>0.8946236559139785</v>
      </c>
      <c r="F87" s="2" t="n">
        <v>0.8860215053763441</v>
      </c>
      <c r="G87" s="2" t="n">
        <v>0.8425666301569915</v>
      </c>
      <c r="H87" s="2" t="n">
        <v>0.926015037593985</v>
      </c>
      <c r="I87" s="2" t="inlineStr">
        <is>
          <t>x100</t>
        </is>
      </c>
      <c r="J87" s="2" t="inlineStr">
        <is>
          <t>생존 (survived)</t>
        </is>
      </c>
      <c r="K87" s="2" t="inlineStr">
        <is>
          <t>reference digitised from the Figure 3 SVG; 95% CI = pairing-cluster bootstrap</t>
        </is>
      </c>
      <c r="L87" s="2" t="inlineStr">
        <is>
          <t>runs/W4399442646/run_meta.json</t>
        </is>
      </c>
      <c r="M87" s="2" t="inlineStr">
        <is>
          <t>예 (harness/cards/HUMAN_CHECKS.md)</t>
        </is>
      </c>
      <c r="N87" s="3" t="n"/>
      <c r="O87" s="3" t="n"/>
      <c r="P87" s="3" t="n"/>
      <c r="Q87" s="3" t="n"/>
      <c r="R87" s="3" t="n"/>
      <c r="S87" s="3" t="n"/>
      <c r="T87" s="3" t="n"/>
      <c r="U87" s="3" t="n"/>
      <c r="V87" s="3" t="n"/>
      <c r="W87" s="2">
        <f>IF(COUNTA(N87:P87)&lt;3,"",IF(AND(N87=O87,O87=P87),N87,IF(N87=O87,N87,IF(N87=P87,N87,IF(O87=P87,O87,"판정 불능")))))</f>
        <v/>
      </c>
      <c r="X87" s="2">
        <f>IF(COUNTA(N87:P87)&lt;3,"",IF(AND(N87=O87,O87=P87),"3/3",IF(OR(N87=O87,N87=P87,O87=P87),"2/3","0/3")))</f>
        <v/>
      </c>
    </row>
    <row r="88">
      <c r="A88" s="2" t="n">
        <v>87</v>
      </c>
      <c r="B88" s="2" t="inlineStr">
        <is>
          <t>W4399442646</t>
        </is>
      </c>
      <c r="C88" s="2" t="inlineStr">
        <is>
          <t>ACCORD: Closing the Commonsense Measurability Gap</t>
        </is>
      </c>
      <c r="D88" s="2" t="inlineStr">
        <is>
          <t>ACCORD: gpt-4o anti-factual accuracy at 2 reasoning hops (Figure 3 series)</t>
        </is>
      </c>
      <c r="E88" s="2" t="n">
        <v>0.5967741935483871</v>
      </c>
      <c r="F88" s="2" t="n">
        <v>0.5833333333333334</v>
      </c>
      <c r="G88" s="2" t="n">
        <v>0.5206180740569134</v>
      </c>
      <c r="H88" s="2" t="n">
        <v>0.6482456140350877</v>
      </c>
      <c r="I88" s="2" t="inlineStr">
        <is>
          <t>x100</t>
        </is>
      </c>
      <c r="J88" s="2" t="inlineStr">
        <is>
          <t>생존 (survived)</t>
        </is>
      </c>
      <c r="K88" s="2" t="inlineStr">
        <is>
          <t>reference digitised from the Figure 3 SVG; 95% CI = pairing-cluster bootstrap</t>
        </is>
      </c>
      <c r="L88" s="2" t="inlineStr">
        <is>
          <t>runs/W4399442646/run_meta.json</t>
        </is>
      </c>
      <c r="M88" s="2" t="inlineStr">
        <is>
          <t>예 (harness/cards/HUMAN_CHECKS.md)</t>
        </is>
      </c>
      <c r="N88" s="3" t="n"/>
      <c r="O88" s="3" t="n"/>
      <c r="P88" s="3" t="n"/>
      <c r="Q88" s="3" t="n"/>
      <c r="R88" s="3" t="n"/>
      <c r="S88" s="3" t="n"/>
      <c r="T88" s="3" t="n"/>
      <c r="U88" s="3" t="n"/>
      <c r="V88" s="3" t="n"/>
      <c r="W88" s="2">
        <f>IF(COUNTA(N88:P88)&lt;3,"",IF(AND(N88=O88,O88=P88),N88,IF(N88=O88,N88,IF(N88=P88,N88,IF(O88=P88,O88,"판정 불능")))))</f>
        <v/>
      </c>
      <c r="X88" s="2">
        <f>IF(COUNTA(N88:P88)&lt;3,"",IF(AND(N88=O88,O88=P88),"3/3",IF(OR(N88=O88,N88=P88,O88=P88),"2/3","0/3")))</f>
        <v/>
      </c>
    </row>
    <row r="89">
      <c r="A89" s="2" t="n">
        <v>88</v>
      </c>
      <c r="B89" s="2" t="inlineStr">
        <is>
          <t>W4399442646</t>
        </is>
      </c>
      <c r="C89" s="2" t="inlineStr">
        <is>
          <t>ACCORD: Closing the Commonsense Measurability Gap</t>
        </is>
      </c>
      <c r="D89" s="2" t="inlineStr">
        <is>
          <t>ACCORD: gpt-4o anti-factual accuracy at 3 reasoning hops (Figure 3 series)</t>
        </is>
      </c>
      <c r="E89" s="2" t="n">
        <v>0.2831541218637993</v>
      </c>
      <c r="F89" s="2" t="n">
        <v>0.2795698924731183</v>
      </c>
      <c r="G89" s="2" t="n">
        <v>0.2272713085915333</v>
      </c>
      <c r="H89" s="2" t="n">
        <v>0.3344459064327485</v>
      </c>
      <c r="I89" s="2" t="inlineStr">
        <is>
          <t>x100</t>
        </is>
      </c>
      <c r="J89" s="2" t="inlineStr">
        <is>
          <t>생존 (survived)</t>
        </is>
      </c>
      <c r="K89" s="2" t="inlineStr">
        <is>
          <t>reference digitised from the Figure 3 SVG; 95% CI = pairing-cluster bootstrap</t>
        </is>
      </c>
      <c r="L89" s="2" t="inlineStr">
        <is>
          <t>runs/W4399442646/run_meta.json</t>
        </is>
      </c>
      <c r="M89" s="2" t="inlineStr">
        <is>
          <t>예 (harness/cards/HUMAN_CHECKS.md)</t>
        </is>
      </c>
      <c r="N89" s="3" t="n"/>
      <c r="O89" s="3" t="n"/>
      <c r="P89" s="3" t="n"/>
      <c r="Q89" s="3" t="n"/>
      <c r="R89" s="3" t="n"/>
      <c r="S89" s="3" t="n"/>
      <c r="T89" s="3" t="n"/>
      <c r="U89" s="3" t="n"/>
      <c r="V89" s="3" t="n"/>
      <c r="W89" s="2">
        <f>IF(COUNTA(N89:P89)&lt;3,"",IF(AND(N89=O89,O89=P89),N89,IF(N89=O89,N89,IF(N89=P89,N89,IF(O89=P89,O89,"판정 불능")))))</f>
        <v/>
      </c>
      <c r="X89" s="2">
        <f>IF(COUNTA(N89:P89)&lt;3,"",IF(AND(N89=O89,O89=P89),"3/3",IF(OR(N89=O89,N89=P89,O89=P89),"2/3","0/3")))</f>
        <v/>
      </c>
    </row>
    <row r="90">
      <c r="A90" s="2" t="n">
        <v>89</v>
      </c>
      <c r="B90" s="2" t="inlineStr">
        <is>
          <t>W4399442646</t>
        </is>
      </c>
      <c r="C90" s="2" t="inlineStr">
        <is>
          <t>ACCORD: Closing the Commonsense Measurability Gap</t>
        </is>
      </c>
      <c r="D90" s="2" t="inlineStr">
        <is>
          <t>ACCORD: gpt-4o anti-factual accuracy at 4 reasoning hops (Figure 3 series)</t>
        </is>
      </c>
      <c r="E90" s="2" t="n">
        <v>0.1451612903225807</v>
      </c>
      <c r="F90" s="2" t="n">
        <v>0.1774193548387097</v>
      </c>
      <c r="G90" s="2" t="n">
        <v>0.1262614004118859</v>
      </c>
      <c r="H90" s="2" t="n">
        <v>0.2381027727546714</v>
      </c>
      <c r="I90" s="2" t="inlineStr">
        <is>
          <t>x100</t>
        </is>
      </c>
      <c r="J90" s="2" t="inlineStr">
        <is>
          <t>생존 (survived)</t>
        </is>
      </c>
      <c r="K90" s="2" t="inlineStr">
        <is>
          <t>reference digitised from the Figure 3 SVG; 95% CI = pairing-cluster bootstrap</t>
        </is>
      </c>
      <c r="L90" s="2" t="inlineStr">
        <is>
          <t>runs/W4399442646/run_meta.json</t>
        </is>
      </c>
      <c r="M90" s="2" t="inlineStr">
        <is>
          <t>예 (harness/cards/HUMAN_CHECKS.md)</t>
        </is>
      </c>
      <c r="N90" s="3" t="n"/>
      <c r="O90" s="3" t="n"/>
      <c r="P90" s="3" t="n"/>
      <c r="Q90" s="3" t="n"/>
      <c r="R90" s="3" t="n"/>
      <c r="S90" s="3" t="n"/>
      <c r="T90" s="3" t="n"/>
      <c r="U90" s="3" t="n"/>
      <c r="V90" s="3" t="n"/>
      <c r="W90" s="2">
        <f>IF(COUNTA(N90:P90)&lt;3,"",IF(AND(N90=O90,O90=P90),N90,IF(N90=O90,N90,IF(N90=P90,N90,IF(O90=P90,O90,"판정 불능")))))</f>
        <v/>
      </c>
      <c r="X90" s="2">
        <f>IF(COUNTA(N90:P90)&lt;3,"",IF(AND(N90=O90,O90=P90),"3/3",IF(OR(N90=O90,N90=P90,O90=P90),"2/3","0/3")))</f>
        <v/>
      </c>
    </row>
    <row r="91">
      <c r="A91" s="2" t="n">
        <v>90</v>
      </c>
      <c r="B91" s="2" t="inlineStr">
        <is>
          <t>W4399442646</t>
        </is>
      </c>
      <c r="C91" s="2" t="inlineStr">
        <is>
          <t>ACCORD: Closing the Commonsense Measurability Gap</t>
        </is>
      </c>
      <c r="D91" s="2" t="inlineStr">
        <is>
          <t>ACCORD: gpt-4o anti-factual accuracy at 5 reasoning hops (Figure 3 series)</t>
        </is>
      </c>
      <c r="E91" s="2" t="n">
        <v>0.1505376344086022</v>
      </c>
      <c r="F91" s="2" t="n">
        <v>0.1935483870967742</v>
      </c>
      <c r="G91" s="2" t="n">
        <v>0.1137211807800043</v>
      </c>
      <c r="H91" s="2" t="n">
        <v>0.2581862745098039</v>
      </c>
      <c r="I91" s="2" t="inlineStr">
        <is>
          <t>x100</t>
        </is>
      </c>
      <c r="J91" s="2" t="inlineStr">
        <is>
          <t>생존 (survived)</t>
        </is>
      </c>
      <c r="K91" s="2" t="inlineStr">
        <is>
          <t>reference digitised from the Figure 3 SVG; 95% CI = pairing-cluster bootstrap</t>
        </is>
      </c>
      <c r="L91" s="2" t="inlineStr">
        <is>
          <t>runs/W4399442646/run_meta.json</t>
        </is>
      </c>
      <c r="M91" s="2" t="inlineStr">
        <is>
          <t>예 (harness/cards/HUMAN_CHECKS.md)</t>
        </is>
      </c>
      <c r="N91" s="3" t="n"/>
      <c r="O91" s="3" t="n"/>
      <c r="P91" s="3" t="n"/>
      <c r="Q91" s="3" t="n"/>
      <c r="R91" s="3" t="n"/>
      <c r="S91" s="3" t="n"/>
      <c r="T91" s="3" t="n"/>
      <c r="U91" s="3" t="n"/>
      <c r="V91" s="3" t="n"/>
      <c r="W91" s="2">
        <f>IF(COUNTA(N91:P91)&lt;3,"",IF(AND(N91=O91,O91=P91),N91,IF(N91=O91,N91,IF(N91=P91,N91,IF(O91=P91,O91,"판정 불능")))))</f>
        <v/>
      </c>
      <c r="X91" s="2">
        <f>IF(COUNTA(N91:P91)&lt;3,"",IF(AND(N91=O91,O91=P91),"3/3",IF(OR(N91=O91,N91=P91,O91=P91),"2/3","0/3")))</f>
        <v/>
      </c>
    </row>
    <row r="92">
      <c r="A92" s="2" t="n">
        <v>91</v>
      </c>
      <c r="B92" s="2" t="inlineStr">
        <is>
          <t>W4399442646</t>
        </is>
      </c>
      <c r="C92" s="2" t="inlineStr">
        <is>
          <t>ACCORD: Closing the Commonsense Measurability Gap</t>
        </is>
      </c>
      <c r="D92" s="2" t="inlineStr">
        <is>
          <t>ACCORD: gpt-4o factual accuracy at 1 reasoning hops (Figure 3 series)</t>
        </is>
      </c>
      <c r="E92" s="2" t="n">
        <v>0.9849462365591398</v>
      </c>
      <c r="F92" s="2" t="n">
        <v>0.989247311827957</v>
      </c>
      <c r="G92" s="2" t="n">
        <v>0.976984126984127</v>
      </c>
      <c r="H92" s="2" t="n">
        <v>0.9985819335572975</v>
      </c>
      <c r="I92" s="2" t="inlineStr">
        <is>
          <t>x100</t>
        </is>
      </c>
      <c r="J92" s="2" t="inlineStr">
        <is>
          <t>생존 (survived)</t>
        </is>
      </c>
      <c r="K92" s="2" t="inlineStr">
        <is>
          <t>reference digitised from the Figure 3 SVG; 95% CI = pairing-cluster bootstrap</t>
        </is>
      </c>
      <c r="L92" s="2" t="inlineStr">
        <is>
          <t>runs/W4399442646/run_meta.json</t>
        </is>
      </c>
      <c r="M92" s="2" t="inlineStr">
        <is>
          <t>예 (harness/cards/HUMAN_CHECKS.md)</t>
        </is>
      </c>
      <c r="N92" s="3" t="n"/>
      <c r="O92" s="3" t="n"/>
      <c r="P92" s="3" t="n"/>
      <c r="Q92" s="3" t="n"/>
      <c r="R92" s="3" t="n"/>
      <c r="S92" s="3" t="n"/>
      <c r="T92" s="3" t="n"/>
      <c r="U92" s="3" t="n"/>
      <c r="V92" s="3" t="n"/>
      <c r="W92" s="2">
        <f>IF(COUNTA(N92:P92)&lt;3,"",IF(AND(N92=O92,O92=P92),N92,IF(N92=O92,N92,IF(N92=P92,N92,IF(O92=P92,O92,"판정 불능")))))</f>
        <v/>
      </c>
      <c r="X92" s="2">
        <f>IF(COUNTA(N92:P92)&lt;3,"",IF(AND(N92=O92,O92=P92),"3/3",IF(OR(N92=O92,N92=P92,O92=P92),"2/3","0/3")))</f>
        <v/>
      </c>
    </row>
    <row r="93">
      <c r="A93" s="2" t="n">
        <v>92</v>
      </c>
      <c r="B93" s="2" t="inlineStr">
        <is>
          <t>W4399442646</t>
        </is>
      </c>
      <c r="C93" s="2" t="inlineStr">
        <is>
          <t>ACCORD: Closing the Commonsense Measurability Gap</t>
        </is>
      </c>
      <c r="D93" s="2" t="inlineStr">
        <is>
          <t>ACCORD: gpt-4o factual accuracy at 2 reasoning hops (Figure 3 series)</t>
        </is>
      </c>
      <c r="E93" s="2" t="n">
        <v>0.8817204301075269</v>
      </c>
      <c r="F93" s="2" t="n">
        <v>0.8709677419354839</v>
      </c>
      <c r="G93" s="2" t="n">
        <v>0.8333333333333334</v>
      </c>
      <c r="H93" s="2" t="n">
        <v>0.9145886001872658</v>
      </c>
      <c r="I93" s="2" t="inlineStr">
        <is>
          <t>x100</t>
        </is>
      </c>
      <c r="J93" s="2" t="inlineStr">
        <is>
          <t>생존 (survived)</t>
        </is>
      </c>
      <c r="K93" s="2" t="inlineStr">
        <is>
          <t>reference digitised from the Figure 3 SVG; 95% CI = pairing-cluster bootstrap</t>
        </is>
      </c>
      <c r="L93" s="2" t="inlineStr">
        <is>
          <t>runs/W4399442646/run_meta.json</t>
        </is>
      </c>
      <c r="M93" s="2" t="inlineStr">
        <is>
          <t>예 (harness/cards/HUMAN_CHECKS.md)</t>
        </is>
      </c>
      <c r="N93" s="3" t="n"/>
      <c r="O93" s="3" t="n"/>
      <c r="P93" s="3" t="n"/>
      <c r="Q93" s="3" t="n"/>
      <c r="R93" s="3" t="n"/>
      <c r="S93" s="3" t="n"/>
      <c r="T93" s="3" t="n"/>
      <c r="U93" s="3" t="n"/>
      <c r="V93" s="3" t="n"/>
      <c r="W93" s="2">
        <f>IF(COUNTA(N93:P93)&lt;3,"",IF(AND(N93=O93,O93=P93),N93,IF(N93=O93,N93,IF(N93=P93,N93,IF(O93=P93,O93,"판정 불능")))))</f>
        <v/>
      </c>
      <c r="X93" s="2">
        <f>IF(COUNTA(N93:P93)&lt;3,"",IF(AND(N93=O93,O93=P93),"3/3",IF(OR(N93=O93,N93=P93,O93=P93),"2/3","0/3")))</f>
        <v/>
      </c>
    </row>
    <row r="94">
      <c r="A94" s="2" t="n">
        <v>93</v>
      </c>
      <c r="B94" s="2" t="inlineStr">
        <is>
          <t>W4399442646</t>
        </is>
      </c>
      <c r="C94" s="2" t="inlineStr">
        <is>
          <t>ACCORD: Closing the Commonsense Measurability Gap</t>
        </is>
      </c>
      <c r="D94" s="2" t="inlineStr">
        <is>
          <t>ACCORD: gpt-4o factual accuracy at 3 reasoning hops (Figure 3 series)</t>
        </is>
      </c>
      <c r="E94" s="2" t="n">
        <v>0.6845878136200717</v>
      </c>
      <c r="F94" s="2" t="n">
        <v>0.6666666666666666</v>
      </c>
      <c r="G94" s="2" t="n">
        <v>0.5994472900796778</v>
      </c>
      <c r="H94" s="2" t="n">
        <v>0.7286849490150314</v>
      </c>
      <c r="I94" s="2" t="inlineStr">
        <is>
          <t>x100</t>
        </is>
      </c>
      <c r="J94" s="2" t="inlineStr">
        <is>
          <t>생존 (survived)</t>
        </is>
      </c>
      <c r="K94" s="2" t="inlineStr">
        <is>
          <t>reference digitised from the Figure 3 SVG; 95% CI = pairing-cluster bootstrap</t>
        </is>
      </c>
      <c r="L94" s="2" t="inlineStr">
        <is>
          <t>runs/W4399442646/run_meta.json</t>
        </is>
      </c>
      <c r="M94" s="2" t="inlineStr">
        <is>
          <t>예 (harness/cards/HUMAN_CHECKS.md)</t>
        </is>
      </c>
      <c r="N94" s="3" t="n"/>
      <c r="O94" s="3" t="n"/>
      <c r="P94" s="3" t="n"/>
      <c r="Q94" s="3" t="n"/>
      <c r="R94" s="3" t="n"/>
      <c r="S94" s="3" t="n"/>
      <c r="T94" s="3" t="n"/>
      <c r="U94" s="3" t="n"/>
      <c r="V94" s="3" t="n"/>
      <c r="W94" s="2">
        <f>IF(COUNTA(N94:P94)&lt;3,"",IF(AND(N94=O94,O94=P94),N94,IF(N94=O94,N94,IF(N94=P94,N94,IF(O94=P94,O94,"판정 불능")))))</f>
        <v/>
      </c>
      <c r="X94" s="2">
        <f>IF(COUNTA(N94:P94)&lt;3,"",IF(AND(N94=O94,O94=P94),"3/3",IF(OR(N94=O94,N94=P94,O94=P94),"2/3","0/3")))</f>
        <v/>
      </c>
    </row>
    <row r="95">
      <c r="A95" s="2" t="n">
        <v>94</v>
      </c>
      <c r="B95" s="2" t="inlineStr">
        <is>
          <t>W4399442646</t>
        </is>
      </c>
      <c r="C95" s="2" t="inlineStr">
        <is>
          <t>ACCORD: Closing the Commonsense Measurability Gap</t>
        </is>
      </c>
      <c r="D95" s="2" t="inlineStr">
        <is>
          <t>ACCORD: gpt-4o factual accuracy at 4 reasoning hops (Figure 3 series)</t>
        </is>
      </c>
      <c r="E95" s="2" t="n">
        <v>0.543010752688172</v>
      </c>
      <c r="F95" s="2" t="n">
        <v>0.4731182795698925</v>
      </c>
      <c r="G95" s="2" t="n">
        <v>0.3910819961306475</v>
      </c>
      <c r="H95" s="2" t="n">
        <v>0.5495519455625839</v>
      </c>
      <c r="I95" s="2" t="inlineStr">
        <is>
          <t>x100</t>
        </is>
      </c>
      <c r="J95" s="2" t="inlineStr">
        <is>
          <t>생존 (survived)</t>
        </is>
      </c>
      <c r="K95" s="2" t="inlineStr">
        <is>
          <t>reference digitised from the Figure 3 SVG; 95% CI = pairing-cluster bootstrap</t>
        </is>
      </c>
      <c r="L95" s="2" t="inlineStr">
        <is>
          <t>runs/W4399442646/run_meta.json</t>
        </is>
      </c>
      <c r="M95" s="2" t="inlineStr">
        <is>
          <t>예 (harness/cards/HUMAN_CHECKS.md)</t>
        </is>
      </c>
      <c r="N95" s="3" t="n"/>
      <c r="O95" s="3" t="n"/>
      <c r="P95" s="3" t="n"/>
      <c r="Q95" s="3" t="n"/>
      <c r="R95" s="3" t="n"/>
      <c r="S95" s="3" t="n"/>
      <c r="T95" s="3" t="n"/>
      <c r="U95" s="3" t="n"/>
      <c r="V95" s="3" t="n"/>
      <c r="W95" s="2">
        <f>IF(COUNTA(N95:P95)&lt;3,"",IF(AND(N95=O95,O95=P95),N95,IF(N95=O95,N95,IF(N95=P95,N95,IF(O95=P95,O95,"판정 불능")))))</f>
        <v/>
      </c>
      <c r="X95" s="2">
        <f>IF(COUNTA(N95:P95)&lt;3,"",IF(AND(N95=O95,O95=P95),"3/3",IF(OR(N95=O95,N95=P95,O95=P95),"2/3","0/3")))</f>
        <v/>
      </c>
    </row>
    <row r="96">
      <c r="A96" s="2" t="n">
        <v>95</v>
      </c>
      <c r="B96" s="2" t="inlineStr">
        <is>
          <t>W4399442646</t>
        </is>
      </c>
      <c r="C96" s="2" t="inlineStr">
        <is>
          <t>ACCORD: Closing the Commonsense Measurability Gap</t>
        </is>
      </c>
      <c r="D96" s="2" t="inlineStr">
        <is>
          <t>ACCORD: gpt-4o factual accuracy at 5 reasoning hops (Figure 3 series)</t>
        </is>
      </c>
      <c r="E96" s="2" t="n">
        <v>0.5053763440860215</v>
      </c>
      <c r="F96" s="2" t="n">
        <v>0.5053763440860215</v>
      </c>
      <c r="G96" s="2" t="n">
        <v>0.4015112863327149</v>
      </c>
      <c r="H96" s="2" t="n">
        <v>0.5992870240324593</v>
      </c>
      <c r="I96" s="2" t="inlineStr">
        <is>
          <t>x100</t>
        </is>
      </c>
      <c r="J96" s="2" t="inlineStr">
        <is>
          <t>생존 (survived)</t>
        </is>
      </c>
      <c r="K96" s="2" t="inlineStr">
        <is>
          <t>reference digitised from the Figure 3 SVG; 95% CI = pairing-cluster bootstrap</t>
        </is>
      </c>
      <c r="L96" s="2" t="inlineStr">
        <is>
          <t>runs/W4399442646/run_meta.json</t>
        </is>
      </c>
      <c r="M96" s="2" t="inlineStr">
        <is>
          <t>예 (harness/cards/HUMAN_CHECKS.md)</t>
        </is>
      </c>
      <c r="N96" s="3" t="n"/>
      <c r="O96" s="3" t="n"/>
      <c r="P96" s="3" t="n"/>
      <c r="Q96" s="3" t="n"/>
      <c r="R96" s="3" t="n"/>
      <c r="S96" s="3" t="n"/>
      <c r="T96" s="3" t="n"/>
      <c r="U96" s="3" t="n"/>
      <c r="V96" s="3" t="n"/>
      <c r="W96" s="2">
        <f>IF(COUNTA(N96:P96)&lt;3,"",IF(AND(N96=O96,O96=P96),N96,IF(N96=O96,N96,IF(N96=P96,N96,IF(O96=P96,O96,"판정 불능")))))</f>
        <v/>
      </c>
      <c r="X96" s="2">
        <f>IF(COUNTA(N96:P96)&lt;3,"",IF(AND(N96=O96,O96=P96),"3/3",IF(OR(N96=O96,N96=P96,O96=P96),"2/3","0/3")))</f>
        <v/>
      </c>
    </row>
  </sheetData>
  <dataValidations count="2">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showDropDown="0" showInputMessage="0" showErrorMessage="0" allowBlank="1" type="list">
      <formula1>"생존,부분 생존,사망,판정 불능"</formula1>
    </dataValidation>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howDropDown="0" showInputMessage="0" showErrorMessage="0" allowBlank="1" type="list">
      <formula1>"핵심 주장 성립,부분 성립,불성립,판단 불가"</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44"/>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40" customWidth="1" min="3" max="3"/>
    <col width="14" customWidth="1" min="4" max="4"/>
    <col width="11" customWidth="1" min="5" max="5"/>
    <col width="8" customWidth="1" min="6" max="6"/>
    <col width="11" customWidth="1" min="7" max="7"/>
    <col width="11" customWidth="1" min="8" max="8"/>
    <col width="11" customWidth="1" min="9" max="9"/>
    <col width="8" customWidth="1" min="10" max="10"/>
    <col width="8" customWidth="1" min="11" max="11"/>
    <col width="8" customWidth="1" min="12" max="12"/>
    <col width="12" customWidth="1" min="13" max="13"/>
    <col width="10" customWidth="1" min="14" max="14"/>
    <col width="12" customWidth="1" min="15" max="15"/>
    <col width="12" customWidth="1" min="16" max="16"/>
    <col width="12" customWidth="1" min="17" max="17"/>
    <col width="14" customWidth="1" min="18" max="18"/>
    <col width="14" customWidth="1" min="19" max="19"/>
    <col width="14" customWidth="1" min="20" max="20"/>
    <col width="24" customWidth="1" min="21" max="21"/>
    <col width="24" customWidth="1" min="22" max="22"/>
    <col width="24" customWidth="1" min="23" max="23"/>
    <col width="12" customWidth="1" min="24" max="24"/>
    <col width="8" customWidth="1" min="25" max="25"/>
  </cols>
  <sheetData>
    <row r="1">
      <c r="A1" s="4" t="inlineStr">
        <is>
          <t>번호</t>
        </is>
      </c>
      <c r="B1" s="4" t="inlineStr">
        <is>
          <t>논문 ID</t>
        </is>
      </c>
      <c r="C1" s="4" t="inlineStr">
        <is>
          <t>논문</t>
        </is>
      </c>
      <c r="D1" s="4" t="inlineStr">
        <is>
          <t>지표</t>
        </is>
      </c>
      <c r="E1" s="4" t="inlineStr">
        <is>
          <t>원 논문 값</t>
        </is>
      </c>
      <c r="F1" s="4" t="inlineStr">
        <is>
          <t>조건 부호</t>
        </is>
      </c>
      <c r="G1" s="4" t="inlineStr">
        <is>
          <t>재실행 값</t>
        </is>
      </c>
      <c r="H1" s="4" t="inlineStr">
        <is>
          <t>95% 구간 하한</t>
        </is>
      </c>
      <c r="I1" s="4" t="inlineStr">
        <is>
          <t>95% 구간 상한</t>
        </is>
      </c>
      <c r="J1" s="4" t="inlineStr">
        <is>
          <t>문항 수</t>
        </is>
      </c>
      <c r="K1" s="4" t="inlineStr">
        <is>
          <t>파싱 실패 수</t>
        </is>
      </c>
      <c r="L1" s="4" t="inlineStr">
        <is>
          <t>비용 상한 부분집합</t>
        </is>
      </c>
      <c r="M1" s="4" t="inlineStr">
        <is>
          <t>자동 가안(값 수준)</t>
        </is>
      </c>
      <c r="N1" s="4" t="inlineStr">
        <is>
          <t>저정밀(구간 반폭&gt;10점)</t>
        </is>
      </c>
      <c r="O1" s="4" t="inlineStr">
        <is>
          <t>판정 A</t>
        </is>
      </c>
      <c r="P1" s="4" t="inlineStr">
        <is>
          <t>판정 B</t>
        </is>
      </c>
      <c r="Q1" s="4" t="inlineStr">
        <is>
          <t>판정 C</t>
        </is>
      </c>
      <c r="R1" s="4" t="inlineStr">
        <is>
          <t>결론 수준 A</t>
        </is>
      </c>
      <c r="S1" s="4" t="inlineStr">
        <is>
          <t>결론 수준 B</t>
        </is>
      </c>
      <c r="T1" s="4" t="inlineStr">
        <is>
          <t>결론 수준 C</t>
        </is>
      </c>
      <c r="U1" s="4" t="inlineStr">
        <is>
          <t>메모 A</t>
        </is>
      </c>
      <c r="V1" s="4" t="inlineStr">
        <is>
          <t>메모 B</t>
        </is>
      </c>
      <c r="W1" s="4" t="inlineStr">
        <is>
          <t>메모 C</t>
        </is>
      </c>
      <c r="X1" s="4" t="inlineStr">
        <is>
          <t>다수결</t>
        </is>
      </c>
      <c r="Y1" s="4" t="inlineStr">
        <is>
          <t>일치</t>
        </is>
      </c>
    </row>
    <row r="2">
      <c r="A2" s="2" t="n">
        <v>1</v>
      </c>
      <c r="B2" s="2" t="inlineStr">
        <is>
          <t>W4399317891</t>
        </is>
      </c>
      <c r="C2" s="2" t="inlineStr">
        <is>
          <t>OR-Bench: An Over-Refusal Benchmark for Large Langua</t>
        </is>
      </c>
      <c r="D2" s="2" t="inlineStr">
        <is>
          <t>custom</t>
        </is>
      </c>
      <c r="E2" s="2" t="n">
        <v>12.7</v>
      </c>
      <c r="F2" s="2" t="inlineStr">
        <is>
          <t>A</t>
        </is>
      </c>
      <c r="G2" s="2" t="n">
        <v>14.25030978934325</v>
      </c>
      <c r="H2" s="2" t="n">
        <v>10.78066914498141</v>
      </c>
      <c r="I2" s="2" t="n">
        <v>19.33085501858736</v>
      </c>
      <c r="J2" s="2" t="n">
        <v>269</v>
      </c>
      <c r="K2" s="2" t="n">
        <v>0</v>
      </c>
      <c r="L2" s="2" t="inlineStr">
        <is>
          <t>예</t>
        </is>
      </c>
      <c r="M2" s="2" t="inlineStr">
        <is>
          <t>재현</t>
        </is>
      </c>
      <c r="N2" s="2" t="inlineStr"/>
      <c r="O2" s="3" t="n"/>
      <c r="P2" s="3" t="n"/>
      <c r="Q2" s="3" t="n"/>
      <c r="R2" s="3" t="n"/>
      <c r="S2" s="3" t="n"/>
      <c r="T2" s="3" t="n"/>
      <c r="U2" s="3" t="n"/>
      <c r="V2" s="3" t="n"/>
      <c r="W2" s="3" t="n"/>
      <c r="X2" s="2">
        <f>IF(COUNTA(O2:Q2)&lt;3,"",IF(AND(O2=P2,P2=Q2),O2,IF(O2=P2,O2,IF(O2=Q2,O2,IF(P2=Q2,P2,"판정 불능")))))</f>
        <v/>
      </c>
      <c r="Y2" s="2">
        <f>IF(COUNTA(O2:Q2)&lt;3,"",IF(AND(O2=P2,P2=Q2),"3/3",IF(OR(O2=P2,O2=Q2,P2=Q2),"2/3","0/3")))</f>
        <v/>
      </c>
    </row>
    <row r="3">
      <c r="A3" s="2" t="n">
        <v>2</v>
      </c>
      <c r="B3" s="2" t="inlineStr">
        <is>
          <t>W4399317891</t>
        </is>
      </c>
      <c r="C3" s="2" t="inlineStr">
        <is>
          <t>OR-Bench: An Over-Refusal Benchmark for Large Langua</t>
        </is>
      </c>
      <c r="D3" s="2" t="inlineStr">
        <is>
          <t>custom</t>
        </is>
      </c>
      <c r="E3" s="2" t="n">
        <v>12.7</v>
      </c>
      <c r="F3" s="2" t="inlineStr">
        <is>
          <t>B</t>
        </is>
      </c>
      <c r="G3" s="2" t="n">
        <v>15.986</v>
      </c>
      <c r="H3" s="2" t="n">
        <v>11.905</v>
      </c>
      <c r="I3" s="2" t="n">
        <v>20.408</v>
      </c>
      <c r="J3" s="2" t="inlineStr">
        <is>
          <t>294</t>
        </is>
      </c>
      <c r="K3" s="2" t="inlineStr">
        <is>
          <t>0</t>
        </is>
      </c>
      <c r="L3" s="2" t="inlineStr">
        <is>
          <t>예</t>
        </is>
      </c>
      <c r="M3" s="2" t="inlineStr">
        <is>
          <t>재현</t>
        </is>
      </c>
      <c r="N3" s="2" t="inlineStr"/>
      <c r="O3" s="3" t="n"/>
      <c r="P3" s="3" t="n"/>
      <c r="Q3" s="3" t="n"/>
      <c r="R3" s="3" t="n"/>
      <c r="S3" s="3" t="n"/>
      <c r="T3" s="3" t="n"/>
      <c r="U3" s="3" t="n"/>
      <c r="V3" s="3" t="n"/>
      <c r="W3" s="3" t="n"/>
      <c r="X3" s="2">
        <f>IF(COUNTA(O3:Q3)&lt;3,"",IF(AND(O3=P3,P3=Q3),O3,IF(O3=P3,O3,IF(O3=Q3,O3,IF(P3=Q3,P3,"판정 불능")))))</f>
        <v/>
      </c>
      <c r="Y3" s="2">
        <f>IF(COUNTA(O3:Q3)&lt;3,"",IF(AND(O3=P3,P3=Q3),"3/3",IF(OR(O3=P3,O3=Q3,P3=Q3),"2/3","0/3")))</f>
        <v/>
      </c>
    </row>
    <row r="4">
      <c r="A4" s="2" t="n">
        <v>3</v>
      </c>
      <c r="B4" s="2" t="inlineStr">
        <is>
          <t>W4399317891</t>
        </is>
      </c>
      <c r="C4" s="2" t="inlineStr">
        <is>
          <t>OR-Bench: An Over-Refusal Benchmark for Large Langua</t>
        </is>
      </c>
      <c r="D4" s="2" t="inlineStr">
        <is>
          <t>custom</t>
        </is>
      </c>
      <c r="E4" s="2" t="n">
        <v>12.7</v>
      </c>
      <c r="F4" s="2" t="inlineStr">
        <is>
          <t>C</t>
        </is>
      </c>
      <c r="G4" s="2" t="n">
        <v>26.478</v>
      </c>
      <c r="H4" s="2" t="n">
        <v>22.108</v>
      </c>
      <c r="I4" s="2" t="n">
        <v>30.848</v>
      </c>
      <c r="J4" s="2" t="inlineStr">
        <is>
          <t>931</t>
        </is>
      </c>
      <c r="K4" s="2" t="inlineStr">
        <is>
          <t>0</t>
        </is>
      </c>
      <c r="L4" s="2" t="inlineStr">
        <is>
          <t>예</t>
        </is>
      </c>
      <c r="M4" s="2" t="inlineStr">
        <is>
          <t>편차</t>
        </is>
      </c>
      <c r="N4" s="2" t="inlineStr"/>
      <c r="O4" s="3" t="n"/>
      <c r="P4" s="3" t="n"/>
      <c r="Q4" s="3" t="n"/>
      <c r="R4" s="3" t="n"/>
      <c r="S4" s="3" t="n"/>
      <c r="T4" s="3" t="n"/>
      <c r="U4" s="3" t="n"/>
      <c r="V4" s="3" t="n"/>
      <c r="W4" s="3" t="n"/>
      <c r="X4" s="2">
        <f>IF(COUNTA(O4:Q4)&lt;3,"",IF(AND(O4=P4,P4=Q4),O4,IF(O4=P4,O4,IF(O4=Q4,O4,IF(P4=Q4,P4,"판정 불능")))))</f>
        <v/>
      </c>
      <c r="Y4" s="2">
        <f>IF(COUNTA(O4:Q4)&lt;3,"",IF(AND(O4=P4,P4=Q4),"3/3",IF(OR(O4=P4,O4=Q4,P4=Q4),"2/3","0/3")))</f>
        <v/>
      </c>
    </row>
    <row r="5">
      <c r="A5" s="2" t="n">
        <v>4</v>
      </c>
      <c r="B5" s="2" t="inlineStr">
        <is>
          <t>W4399404161</t>
        </is>
      </c>
      <c r="C5" s="2" t="inlineStr">
        <is>
          <t>MMLU-Pro: A More Robust and Challenging Multi-Task L</t>
        </is>
      </c>
      <c r="D5" s="2" t="inlineStr">
        <is>
          <t>accuracy</t>
        </is>
      </c>
      <c r="E5" s="2" t="n">
        <v>63.7</v>
      </c>
      <c r="F5" s="2" t="inlineStr">
        <is>
          <t>A</t>
        </is>
      </c>
      <c r="G5" s="2" t="n">
        <v>67.97820823244552</v>
      </c>
      <c r="H5" s="2" t="n">
        <v>65.73849878934624</v>
      </c>
      <c r="I5" s="2" t="n">
        <v>70.2179176755448</v>
      </c>
      <c r="J5" s="2" t="n">
        <v>1652</v>
      </c>
      <c r="K5" s="2" t="n">
        <v>0</v>
      </c>
      <c r="L5" s="2" t="inlineStr">
        <is>
          <t>예</t>
        </is>
      </c>
      <c r="M5" s="2" t="inlineStr">
        <is>
          <t>근접</t>
        </is>
      </c>
      <c r="N5" s="2" t="inlineStr"/>
      <c r="O5" s="3" t="n"/>
      <c r="P5" s="3" t="n"/>
      <c r="Q5" s="3" t="n"/>
      <c r="R5" s="3" t="n"/>
      <c r="S5" s="3" t="n"/>
      <c r="T5" s="3" t="n"/>
      <c r="U5" s="3" t="n"/>
      <c r="V5" s="3" t="n"/>
      <c r="W5" s="3" t="n"/>
      <c r="X5" s="2">
        <f>IF(COUNTA(O5:Q5)&lt;3,"",IF(AND(O5=P5,P5=Q5),O5,IF(O5=P5,O5,IF(O5=Q5,O5,IF(P5=Q5,P5,"판정 불능")))))</f>
        <v/>
      </c>
      <c r="Y5" s="2">
        <f>IF(COUNTA(O5:Q5)&lt;3,"",IF(AND(O5=P5,P5=Q5),"3/3",IF(OR(O5=P5,O5=Q5,P5=Q5),"2/3","0/3")))</f>
        <v/>
      </c>
    </row>
    <row r="6">
      <c r="A6" s="2" t="n">
        <v>5</v>
      </c>
      <c r="B6" s="2" t="inlineStr">
        <is>
          <t>W4399911093</t>
        </is>
      </c>
      <c r="C6" s="2" t="inlineStr">
        <is>
          <t>Leveraging Large Language Models to Measure Gender R</t>
        </is>
      </c>
      <c r="D6" s="2" t="inlineStr">
        <is>
          <t>custom</t>
        </is>
      </c>
      <c r="E6" s="2" t="n">
        <v>90.23999999999999</v>
      </c>
      <c r="F6" s="2" t="inlineStr">
        <is>
          <t>A</t>
        </is>
      </c>
      <c r="G6" s="2" t="n">
        <v>90.87313306025435</v>
      </c>
      <c r="H6" s="2" t="n">
        <v>89.1305501993632</v>
      </c>
      <c r="I6" s="2" t="n">
        <v>92.92827341322682</v>
      </c>
      <c r="J6" s="2" t="n">
        <v>100</v>
      </c>
      <c r="K6" s="2" t="n">
        <v>0</v>
      </c>
      <c r="L6" s="2" t="inlineStr"/>
      <c r="M6" s="2" t="inlineStr">
        <is>
          <t>재현</t>
        </is>
      </c>
      <c r="N6" s="2" t="inlineStr"/>
      <c r="O6" s="3" t="n"/>
      <c r="P6" s="3" t="n"/>
      <c r="Q6" s="3" t="n"/>
      <c r="R6" s="3" t="n"/>
      <c r="S6" s="3" t="n"/>
      <c r="T6" s="3" t="n"/>
      <c r="U6" s="3" t="n"/>
      <c r="V6" s="3" t="n"/>
      <c r="W6" s="3" t="n"/>
      <c r="X6" s="2">
        <f>IF(COUNTA(O6:Q6)&lt;3,"",IF(AND(O6=P6,P6=Q6),O6,IF(O6=P6,O6,IF(O6=Q6,O6,IF(P6=Q6,P6,"판정 불능")))))</f>
        <v/>
      </c>
      <c r="Y6" s="2">
        <f>IF(COUNTA(O6:Q6)&lt;3,"",IF(AND(O6=P6,P6=Q6),"3/3",IF(OR(O6=P6,O6=Q6,P6=Q6),"2/3","0/3")))</f>
        <v/>
      </c>
    </row>
    <row r="7">
      <c r="A7" s="2" t="n">
        <v>6</v>
      </c>
      <c r="B7" s="2" t="inlineStr">
        <is>
          <t>W4399911093</t>
        </is>
      </c>
      <c r="C7" s="2" t="inlineStr">
        <is>
          <t>Leveraging Large Language Models to Measure Gender R</t>
        </is>
      </c>
      <c r="D7" s="2" t="inlineStr">
        <is>
          <t>custom</t>
        </is>
      </c>
      <c r="E7" s="2" t="n">
        <v>90.23999999999999</v>
      </c>
      <c r="F7" s="2" t="inlineStr">
        <is>
          <t>B</t>
        </is>
      </c>
      <c r="G7" s="2" t="n">
        <v>84.16</v>
      </c>
      <c r="H7" s="2" t="n">
        <v>80.749</v>
      </c>
      <c r="I7" s="2" t="n">
        <v>87.21899999999999</v>
      </c>
      <c r="J7" s="2" t="inlineStr">
        <is>
          <t>100</t>
        </is>
      </c>
      <c r="K7" s="2" t="inlineStr">
        <is>
          <t>0</t>
        </is>
      </c>
      <c r="L7" s="2" t="inlineStr"/>
      <c r="M7" s="2" t="inlineStr">
        <is>
          <t>편차</t>
        </is>
      </c>
      <c r="N7" s="2" t="inlineStr"/>
      <c r="O7" s="3" t="n"/>
      <c r="P7" s="3" t="n"/>
      <c r="Q7" s="3" t="n"/>
      <c r="R7" s="3" t="n"/>
      <c r="S7" s="3" t="n"/>
      <c r="T7" s="3" t="n"/>
      <c r="U7" s="3" t="n"/>
      <c r="V7" s="3" t="n"/>
      <c r="W7" s="3" t="n"/>
      <c r="X7" s="2">
        <f>IF(COUNTA(O7:Q7)&lt;3,"",IF(AND(O7=P7,P7=Q7),O7,IF(O7=P7,O7,IF(O7=Q7,O7,IF(P7=Q7,P7,"판정 불능")))))</f>
        <v/>
      </c>
      <c r="Y7" s="2">
        <f>IF(COUNTA(O7:Q7)&lt;3,"",IF(AND(O7=P7,P7=Q7),"3/3",IF(OR(O7=P7,O7=Q7,P7=Q7),"2/3","0/3")))</f>
        <v/>
      </c>
    </row>
    <row r="8">
      <c r="A8" s="2" t="n">
        <v>7</v>
      </c>
      <c r="B8" s="2" t="inlineStr">
        <is>
          <t>W4399911093</t>
        </is>
      </c>
      <c r="C8" s="2" t="inlineStr">
        <is>
          <t>Leveraging Large Language Models to Measure Gender R</t>
        </is>
      </c>
      <c r="D8" s="2" t="inlineStr">
        <is>
          <t>custom</t>
        </is>
      </c>
      <c r="E8" s="2" t="n">
        <v>90.23999999999999</v>
      </c>
      <c r="F8" s="2" t="inlineStr">
        <is>
          <t>C</t>
        </is>
      </c>
      <c r="G8" s="2" t="n">
        <v>95.259</v>
      </c>
      <c r="H8" s="2" t="n">
        <v>93.907</v>
      </c>
      <c r="I8" s="2" t="n">
        <v>96.563</v>
      </c>
      <c r="J8" s="2" t="inlineStr">
        <is>
          <t>100</t>
        </is>
      </c>
      <c r="K8" s="2" t="inlineStr">
        <is>
          <t>0</t>
        </is>
      </c>
      <c r="L8" s="2" t="inlineStr"/>
      <c r="M8" s="2" t="inlineStr">
        <is>
          <t>편차</t>
        </is>
      </c>
      <c r="N8" s="2" t="inlineStr"/>
      <c r="O8" s="3" t="n"/>
      <c r="P8" s="3" t="n"/>
      <c r="Q8" s="3" t="n"/>
      <c r="R8" s="3" t="n"/>
      <c r="S8" s="3" t="n"/>
      <c r="T8" s="3" t="n"/>
      <c r="U8" s="3" t="n"/>
      <c r="V8" s="3" t="n"/>
      <c r="W8" s="3" t="n"/>
      <c r="X8" s="2">
        <f>IF(COUNTA(O8:Q8)&lt;3,"",IF(AND(O8=P8,P8=Q8),O8,IF(O8=P8,O8,IF(O8=Q8,O8,IF(P8=Q8,P8,"판정 불능")))))</f>
        <v/>
      </c>
      <c r="Y8" s="2">
        <f>IF(COUNTA(O8:Q8)&lt;3,"",IF(AND(O8=P8,P8=Q8),"3/3",IF(OR(O8=P8,O8=Q8,P8=Q8),"2/3","0/3")))</f>
        <v/>
      </c>
    </row>
    <row r="9">
      <c r="A9" s="2" t="n">
        <v>8</v>
      </c>
      <c r="B9" s="2" t="inlineStr">
        <is>
          <t>W4399911093</t>
        </is>
      </c>
      <c r="C9" s="2" t="inlineStr">
        <is>
          <t>Leveraging Large Language Models to Measure Gender R</t>
        </is>
      </c>
      <c r="D9" s="2" t="inlineStr">
        <is>
          <t>custom</t>
        </is>
      </c>
      <c r="E9" s="2" t="n">
        <v>90.23999999999999</v>
      </c>
      <c r="F9" s="2" t="inlineStr">
        <is>
          <t>D</t>
        </is>
      </c>
      <c r="G9" s="2" t="n">
        <v>80.309</v>
      </c>
      <c r="H9" s="2" t="n">
        <v>75.78</v>
      </c>
      <c r="I9" s="2" t="n">
        <v>84.589</v>
      </c>
      <c r="J9" s="2" t="inlineStr">
        <is>
          <t>100</t>
        </is>
      </c>
      <c r="K9" s="2" t="inlineStr">
        <is>
          <t>0</t>
        </is>
      </c>
      <c r="L9" s="2" t="inlineStr"/>
      <c r="M9" s="2" t="inlineStr">
        <is>
          <t>편차</t>
        </is>
      </c>
      <c r="N9" s="2" t="inlineStr"/>
      <c r="O9" s="3" t="n"/>
      <c r="P9" s="3" t="n"/>
      <c r="Q9" s="3" t="n"/>
      <c r="R9" s="3" t="n"/>
      <c r="S9" s="3" t="n"/>
      <c r="T9" s="3" t="n"/>
      <c r="U9" s="3" t="n"/>
      <c r="V9" s="3" t="n"/>
      <c r="W9" s="3" t="n"/>
      <c r="X9" s="2">
        <f>IF(COUNTA(O9:Q9)&lt;3,"",IF(AND(O9=P9,P9=Q9),O9,IF(O9=P9,O9,IF(O9=Q9,O9,IF(P9=Q9,P9,"판정 불능")))))</f>
        <v/>
      </c>
      <c r="Y9" s="2">
        <f>IF(COUNTA(O9:Q9)&lt;3,"",IF(AND(O9=P9,P9=Q9),"3/3",IF(OR(O9=P9,O9=Q9,P9=Q9),"2/3","0/3")))</f>
        <v/>
      </c>
    </row>
    <row r="10">
      <c r="A10" s="2" t="n">
        <v>9</v>
      </c>
      <c r="B10" s="2" t="inlineStr">
        <is>
          <t>W4399911093</t>
        </is>
      </c>
      <c r="C10" s="2" t="inlineStr">
        <is>
          <t>Leveraging Large Language Models to Measure Gender R</t>
        </is>
      </c>
      <c r="D10" s="2" t="inlineStr">
        <is>
          <t>custom</t>
        </is>
      </c>
      <c r="E10" s="2" t="n">
        <v>90.23999999999999</v>
      </c>
      <c r="F10" s="2" t="inlineStr">
        <is>
          <t>E</t>
        </is>
      </c>
      <c r="G10" s="2" t="n">
        <v>94.509</v>
      </c>
      <c r="H10" s="2" t="n">
        <v>93.157</v>
      </c>
      <c r="I10" s="2" t="n">
        <v>95.84999999999999</v>
      </c>
      <c r="J10" s="2" t="inlineStr">
        <is>
          <t>100</t>
        </is>
      </c>
      <c r="K10" s="2" t="inlineStr">
        <is>
          <t>0</t>
        </is>
      </c>
      <c r="L10" s="2" t="inlineStr"/>
      <c r="M10" s="2" t="inlineStr">
        <is>
          <t>근접</t>
        </is>
      </c>
      <c r="N10" s="2" t="inlineStr"/>
      <c r="O10" s="3" t="n"/>
      <c r="P10" s="3" t="n"/>
      <c r="Q10" s="3" t="n"/>
      <c r="R10" s="3" t="n"/>
      <c r="S10" s="3" t="n"/>
      <c r="T10" s="3" t="n"/>
      <c r="U10" s="3" t="n"/>
      <c r="V10" s="3" t="n"/>
      <c r="W10" s="3" t="n"/>
      <c r="X10" s="2">
        <f>IF(COUNTA(O10:Q10)&lt;3,"",IF(AND(O10=P10,P10=Q10),O10,IF(O10=P10,O10,IF(O10=Q10,O10,IF(P10=Q10,P10,"판정 불능")))))</f>
        <v/>
      </c>
      <c r="Y10" s="2">
        <f>IF(COUNTA(O10:Q10)&lt;3,"",IF(AND(O10=P10,P10=Q10),"3/3",IF(OR(O10=P10,O10=Q10,P10=Q10),"2/3","0/3")))</f>
        <v/>
      </c>
    </row>
    <row r="11">
      <c r="A11" s="2" t="n">
        <v>10</v>
      </c>
      <c r="B11" s="2" t="inlineStr">
        <is>
          <t>W4399911213</t>
        </is>
      </c>
      <c r="C11" s="2" t="inlineStr">
        <is>
          <t>WikiContradict: A Benchmark for Evaluating LLMs on R</t>
        </is>
      </c>
      <c r="D11" s="2" t="inlineStr">
        <is>
          <t>accuracy</t>
        </is>
      </c>
      <c r="E11" s="2" t="n">
        <v>86.7</v>
      </c>
      <c r="F11" s="2" t="inlineStr">
        <is>
          <t>A</t>
        </is>
      </c>
      <c r="G11" s="2" t="n">
        <v>84.583</v>
      </c>
      <c r="H11" s="2" t="n">
        <v>80</v>
      </c>
      <c r="I11" s="2" t="n">
        <v>89.167</v>
      </c>
      <c r="J11" s="2" t="inlineStr">
        <is>
          <t>240</t>
        </is>
      </c>
      <c r="K11" s="2" t="inlineStr">
        <is>
          <t>0</t>
        </is>
      </c>
      <c r="L11" s="2" t="inlineStr"/>
      <c r="M11" s="2" t="inlineStr">
        <is>
          <t>재현</t>
        </is>
      </c>
      <c r="N11" s="2" t="inlineStr"/>
      <c r="O11" s="3" t="n"/>
      <c r="P11" s="3" t="n"/>
      <c r="Q11" s="3" t="n"/>
      <c r="R11" s="3" t="n"/>
      <c r="S11" s="3" t="n"/>
      <c r="T11" s="3" t="n"/>
      <c r="U11" s="3" t="n"/>
      <c r="V11" s="3" t="n"/>
      <c r="W11" s="3" t="n"/>
      <c r="X11" s="2">
        <f>IF(COUNTA(O11:Q11)&lt;3,"",IF(AND(O11=P11,P11=Q11),O11,IF(O11=P11,O11,IF(O11=Q11,O11,IF(P11=Q11,P11,"판정 불능")))))</f>
        <v/>
      </c>
      <c r="Y11" s="2">
        <f>IF(COUNTA(O11:Q11)&lt;3,"",IF(AND(O11=P11,P11=Q11),"3/3",IF(OR(O11=P11,O11=Q11,P11=Q11),"2/3","0/3")))</f>
        <v/>
      </c>
    </row>
    <row r="12">
      <c r="A12" s="2" t="n">
        <v>11</v>
      </c>
      <c r="B12" s="2" t="inlineStr">
        <is>
          <t>W4399911213</t>
        </is>
      </c>
      <c r="C12" s="2" t="inlineStr">
        <is>
          <t>WikiContradict: A Benchmark for Evaluating LLMs on R</t>
        </is>
      </c>
      <c r="D12" s="2" t="inlineStr">
        <is>
          <t>accuracy</t>
        </is>
      </c>
      <c r="E12" s="2" t="n">
        <v>86.7</v>
      </c>
      <c r="F12" s="2" t="inlineStr">
        <is>
          <t>B</t>
        </is>
      </c>
      <c r="G12" s="2" t="n">
        <v>81.11111111111113</v>
      </c>
      <c r="H12" s="2" t="n">
        <v>76.25</v>
      </c>
      <c r="I12" s="2" t="n">
        <v>86.25</v>
      </c>
      <c r="J12" s="2" t="n">
        <v>240</v>
      </c>
      <c r="K12" s="2" t="n">
        <v>0</v>
      </c>
      <c r="L12" s="2" t="inlineStr"/>
      <c r="M12" s="2" t="inlineStr">
        <is>
          <t>편차</t>
        </is>
      </c>
      <c r="N12" s="2" t="inlineStr"/>
      <c r="O12" s="3" t="n"/>
      <c r="P12" s="3" t="n"/>
      <c r="Q12" s="3" t="n"/>
      <c r="R12" s="3" t="n"/>
      <c r="S12" s="3" t="n"/>
      <c r="T12" s="3" t="n"/>
      <c r="U12" s="3" t="n"/>
      <c r="V12" s="3" t="n"/>
      <c r="W12" s="3" t="n"/>
      <c r="X12" s="2">
        <f>IF(COUNTA(O12:Q12)&lt;3,"",IF(AND(O12=P12,P12=Q12),O12,IF(O12=P12,O12,IF(O12=Q12,O12,IF(P12=Q12,P12,"판정 불능")))))</f>
        <v/>
      </c>
      <c r="Y12" s="2">
        <f>IF(COUNTA(O12:Q12)&lt;3,"",IF(AND(O12=P12,P12=Q12),"3/3",IF(OR(O12=P12,O12=Q12,P12=Q12),"2/3","0/3")))</f>
        <v/>
      </c>
    </row>
    <row r="13">
      <c r="A13" s="2" t="n">
        <v>12</v>
      </c>
      <c r="B13" s="2" t="inlineStr">
        <is>
          <t>W4399911213</t>
        </is>
      </c>
      <c r="C13" s="2" t="inlineStr">
        <is>
          <t>WikiContradict: A Benchmark for Evaluating LLMs on R</t>
        </is>
      </c>
      <c r="D13" s="2" t="inlineStr">
        <is>
          <t>accuracy</t>
        </is>
      </c>
      <c r="E13" s="2" t="n">
        <v>86.7</v>
      </c>
      <c r="F13" s="2" t="inlineStr">
        <is>
          <t>C</t>
        </is>
      </c>
      <c r="G13" s="2" t="n">
        <v>86.667</v>
      </c>
      <c r="H13" s="2" t="n">
        <v>82.5</v>
      </c>
      <c r="I13" s="2" t="n">
        <v>90.833</v>
      </c>
      <c r="J13" s="2" t="inlineStr">
        <is>
          <t>240</t>
        </is>
      </c>
      <c r="K13" s="2" t="inlineStr">
        <is>
          <t>0</t>
        </is>
      </c>
      <c r="L13" s="2" t="inlineStr"/>
      <c r="M13" s="2" t="inlineStr">
        <is>
          <t>재현</t>
        </is>
      </c>
      <c r="N13" s="2" t="inlineStr"/>
      <c r="O13" s="3" t="n"/>
      <c r="P13" s="3" t="n"/>
      <c r="Q13" s="3" t="n"/>
      <c r="R13" s="3" t="n"/>
      <c r="S13" s="3" t="n"/>
      <c r="T13" s="3" t="n"/>
      <c r="U13" s="3" t="n"/>
      <c r="V13" s="3" t="n"/>
      <c r="W13" s="3" t="n"/>
      <c r="X13" s="2">
        <f>IF(COUNTA(O13:Q13)&lt;3,"",IF(AND(O13=P13,P13=Q13),O13,IF(O13=P13,O13,IF(O13=Q13,O13,IF(P13=Q13,P13,"판정 불능")))))</f>
        <v/>
      </c>
      <c r="Y13" s="2">
        <f>IF(COUNTA(O13:Q13)&lt;3,"",IF(AND(O13=P13,P13=Q13),"3/3",IF(OR(O13=P13,O13=Q13,P13=Q13),"2/3","0/3")))</f>
        <v/>
      </c>
    </row>
    <row r="14">
      <c r="A14" s="2" t="n">
        <v>13</v>
      </c>
      <c r="B14" s="2" t="inlineStr">
        <is>
          <t>W4399911213</t>
        </is>
      </c>
      <c r="C14" s="2" t="inlineStr">
        <is>
          <t>WikiContradict: A Benchmark for Evaluating LLMs on R</t>
        </is>
      </c>
      <c r="D14" s="2" t="inlineStr">
        <is>
          <t>accuracy</t>
        </is>
      </c>
      <c r="E14" s="2" t="n">
        <v>86.7</v>
      </c>
      <c r="F14" s="2" t="inlineStr">
        <is>
          <t>D</t>
        </is>
      </c>
      <c r="G14" s="2" t="n">
        <v>85</v>
      </c>
      <c r="H14" s="2" t="n">
        <v>80.833</v>
      </c>
      <c r="I14" s="2" t="n">
        <v>89.583</v>
      </c>
      <c r="J14" s="2" t="inlineStr">
        <is>
          <t>240</t>
        </is>
      </c>
      <c r="K14" s="2" t="inlineStr">
        <is>
          <t>0</t>
        </is>
      </c>
      <c r="L14" s="2" t="inlineStr"/>
      <c r="M14" s="2" t="inlineStr">
        <is>
          <t>재현</t>
        </is>
      </c>
      <c r="N14" s="2" t="inlineStr"/>
      <c r="O14" s="3" t="n"/>
      <c r="P14" s="3" t="n"/>
      <c r="Q14" s="3" t="n"/>
      <c r="R14" s="3" t="n"/>
      <c r="S14" s="3" t="n"/>
      <c r="T14" s="3" t="n"/>
      <c r="U14" s="3" t="n"/>
      <c r="V14" s="3" t="n"/>
      <c r="W14" s="3" t="n"/>
      <c r="X14" s="2">
        <f>IF(COUNTA(O14:Q14)&lt;3,"",IF(AND(O14=P14,P14=Q14),O14,IF(O14=P14,O14,IF(O14=Q14,O14,IF(P14=Q14,P14,"판정 불능")))))</f>
        <v/>
      </c>
      <c r="Y14" s="2">
        <f>IF(COUNTA(O14:Q14)&lt;3,"",IF(AND(O14=P14,P14=Q14),"3/3",IF(OR(O14=P14,O14=Q14,P14=Q14),"2/3","0/3")))</f>
        <v/>
      </c>
    </row>
    <row r="15">
      <c r="A15" s="2" t="n">
        <v>14</v>
      </c>
      <c r="B15" s="2" t="inlineStr">
        <is>
          <t>W4399911213</t>
        </is>
      </c>
      <c r="C15" s="2" t="inlineStr">
        <is>
          <t>WikiContradict: A Benchmark for Evaluating LLMs on R</t>
        </is>
      </c>
      <c r="D15" s="2" t="inlineStr">
        <is>
          <t>accuracy</t>
        </is>
      </c>
      <c r="E15" s="2" t="n">
        <v>86.7</v>
      </c>
      <c r="F15" s="2" t="inlineStr">
        <is>
          <t>E</t>
        </is>
      </c>
      <c r="G15" s="2" t="n">
        <v>85.47</v>
      </c>
      <c r="H15" s="2" t="n">
        <v>80.76900000000001</v>
      </c>
      <c r="I15" s="2" t="n">
        <v>89.744</v>
      </c>
      <c r="J15" s="2" t="inlineStr">
        <is>
          <t>234</t>
        </is>
      </c>
      <c r="K15" s="2" t="inlineStr">
        <is>
          <t>0</t>
        </is>
      </c>
      <c r="L15" s="2" t="inlineStr">
        <is>
          <t>예</t>
        </is>
      </c>
      <c r="M15" s="2" t="inlineStr">
        <is>
          <t>재현</t>
        </is>
      </c>
      <c r="N15" s="2" t="inlineStr"/>
      <c r="O15" s="3" t="n"/>
      <c r="P15" s="3" t="n"/>
      <c r="Q15" s="3" t="n"/>
      <c r="R15" s="3" t="n"/>
      <c r="S15" s="3" t="n"/>
      <c r="T15" s="3" t="n"/>
      <c r="U15" s="3" t="n"/>
      <c r="V15" s="3" t="n"/>
      <c r="W15" s="3" t="n"/>
      <c r="X15" s="2">
        <f>IF(COUNTA(O15:Q15)&lt;3,"",IF(AND(O15=P15,P15=Q15),O15,IF(O15=P15,O15,IF(O15=Q15,O15,IF(P15=Q15,P15,"판정 불능")))))</f>
        <v/>
      </c>
      <c r="Y15" s="2">
        <f>IF(COUNTA(O15:Q15)&lt;3,"",IF(AND(O15=P15,P15=Q15),"3/3",IF(OR(O15=P15,O15=Q15,P15=Q15),"2/3","0/3")))</f>
        <v/>
      </c>
    </row>
    <row r="16">
      <c r="A16" s="2" t="n">
        <v>15</v>
      </c>
      <c r="B16" s="2" t="inlineStr">
        <is>
          <t>W4399911276</t>
        </is>
      </c>
      <c r="C16" s="2" t="inlineStr">
        <is>
          <t xml:space="preserve">Whiteboard-of-Thought: Thinking Step-by-Step Across </t>
        </is>
      </c>
      <c r="D16" s="2" t="inlineStr">
        <is>
          <t>accuracy</t>
        </is>
      </c>
      <c r="E16" s="2" t="n">
        <v>19.6</v>
      </c>
      <c r="F16" s="2" t="inlineStr">
        <is>
          <t>A</t>
        </is>
      </c>
      <c r="G16" s="2" t="n">
        <v>20</v>
      </c>
      <c r="H16" s="2" t="n">
        <v>14.8</v>
      </c>
      <c r="I16" s="2" t="n">
        <v>24.4</v>
      </c>
      <c r="J16" s="2" t="n">
        <v>250</v>
      </c>
      <c r="K16" s="2" t="n">
        <v>2</v>
      </c>
      <c r="L16" s="2" t="inlineStr"/>
      <c r="M16" s="2" t="inlineStr">
        <is>
          <t>재현</t>
        </is>
      </c>
      <c r="N16" s="2" t="inlineStr"/>
      <c r="O16" s="3" t="n"/>
      <c r="P16" s="3" t="n"/>
      <c r="Q16" s="3" t="n"/>
      <c r="R16" s="3" t="n"/>
      <c r="S16" s="3" t="n"/>
      <c r="T16" s="3" t="n"/>
      <c r="U16" s="3" t="n"/>
      <c r="V16" s="3" t="n"/>
      <c r="W16" s="3" t="n"/>
      <c r="X16" s="2">
        <f>IF(COUNTA(O16:Q16)&lt;3,"",IF(AND(O16=P16,P16=Q16),O16,IF(O16=P16,O16,IF(O16=Q16,O16,IF(P16=Q16,P16,"판정 불능")))))</f>
        <v/>
      </c>
      <c r="Y16" s="2">
        <f>IF(COUNTA(O16:Q16)&lt;3,"",IF(AND(O16=P16,P16=Q16),"3/3",IF(OR(O16=P16,O16=Q16,P16=Q16),"2/3","0/3")))</f>
        <v/>
      </c>
    </row>
    <row r="17">
      <c r="A17" s="2" t="n">
        <v>16</v>
      </c>
      <c r="B17" s="2" t="inlineStr">
        <is>
          <t>W4399911276</t>
        </is>
      </c>
      <c r="C17" s="2" t="inlineStr">
        <is>
          <t xml:space="preserve">Whiteboard-of-Thought: Thinking Step-by-Step Across </t>
        </is>
      </c>
      <c r="D17" s="2" t="inlineStr">
        <is>
          <t>accuracy</t>
        </is>
      </c>
      <c r="E17" s="2" t="n">
        <v>19.6</v>
      </c>
      <c r="F17" s="2" t="inlineStr">
        <is>
          <t>B</t>
        </is>
      </c>
      <c r="G17" s="2" t="n">
        <v>80</v>
      </c>
      <c r="H17" s="2" t="n">
        <v>75.2</v>
      </c>
      <c r="I17" s="2" t="n">
        <v>84.8</v>
      </c>
      <c r="J17" s="2" t="inlineStr">
        <is>
          <t>250</t>
        </is>
      </c>
      <c r="K17" s="2" t="inlineStr">
        <is>
          <t>0</t>
        </is>
      </c>
      <c r="L17" s="2" t="inlineStr"/>
      <c r="M17" s="2" t="inlineStr">
        <is>
          <t>편차</t>
        </is>
      </c>
      <c r="N17" s="2" t="inlineStr"/>
      <c r="O17" s="3" t="n"/>
      <c r="P17" s="3" t="n"/>
      <c r="Q17" s="3" t="n"/>
      <c r="R17" s="3" t="n"/>
      <c r="S17" s="3" t="n"/>
      <c r="T17" s="3" t="n"/>
      <c r="U17" s="3" t="n"/>
      <c r="V17" s="3" t="n"/>
      <c r="W17" s="3" t="n"/>
      <c r="X17" s="2">
        <f>IF(COUNTA(O17:Q17)&lt;3,"",IF(AND(O17=P17,P17=Q17),O17,IF(O17=P17,O17,IF(O17=Q17,O17,IF(P17=Q17,P17,"판정 불능")))))</f>
        <v/>
      </c>
      <c r="Y17" s="2">
        <f>IF(COUNTA(O17:Q17)&lt;3,"",IF(AND(O17=P17,P17=Q17),"3/3",IF(OR(O17=P17,O17=Q17,P17=Q17),"2/3","0/3")))</f>
        <v/>
      </c>
    </row>
    <row r="18">
      <c r="A18" s="2" t="n">
        <v>17</v>
      </c>
      <c r="B18" s="2" t="inlineStr">
        <is>
          <t>W4399911276</t>
        </is>
      </c>
      <c r="C18" s="2" t="inlineStr">
        <is>
          <t xml:space="preserve">Whiteboard-of-Thought: Thinking Step-by-Step Across </t>
        </is>
      </c>
      <c r="D18" s="2" t="inlineStr">
        <is>
          <t>accuracy</t>
        </is>
      </c>
      <c r="E18" s="2" t="n">
        <v>19.6</v>
      </c>
      <c r="F18" s="2" t="inlineStr">
        <is>
          <t>C</t>
        </is>
      </c>
      <c r="G18" s="2" t="n">
        <v>0</v>
      </c>
      <c r="H18" s="2" t="n">
        <v>0</v>
      </c>
      <c r="I18" s="2" t="n">
        <v>0</v>
      </c>
      <c r="J18" s="2" t="inlineStr">
        <is>
          <t>250</t>
        </is>
      </c>
      <c r="K18" s="2" t="inlineStr">
        <is>
          <t>250</t>
        </is>
      </c>
      <c r="L18" s="2" t="inlineStr"/>
      <c r="M18" s="2" t="inlineStr">
        <is>
          <t>확인 필요</t>
        </is>
      </c>
      <c r="N18" s="2" t="inlineStr"/>
      <c r="O18" s="3" t="n"/>
      <c r="P18" s="3" t="n"/>
      <c r="Q18" s="3" t="n"/>
      <c r="R18" s="3" t="n"/>
      <c r="S18" s="3" t="n"/>
      <c r="T18" s="3" t="n"/>
      <c r="U18" s="3" t="n"/>
      <c r="V18" s="3" t="n"/>
      <c r="W18" s="3" t="n"/>
      <c r="X18" s="2">
        <f>IF(COUNTA(O18:Q18)&lt;3,"",IF(AND(O18=P18,P18=Q18),O18,IF(O18=P18,O18,IF(O18=Q18,O18,IF(P18=Q18,P18,"판정 불능")))))</f>
        <v/>
      </c>
      <c r="Y18" s="2">
        <f>IF(COUNTA(O18:Q18)&lt;3,"",IF(AND(O18=P18,P18=Q18),"3/3",IF(OR(O18=P18,O18=Q18,P18=Q18),"2/3","0/3")))</f>
        <v/>
      </c>
    </row>
    <row r="19">
      <c r="A19" s="2" t="n">
        <v>18</v>
      </c>
      <c r="B19" s="2" t="inlineStr">
        <is>
          <t>W4399911276</t>
        </is>
      </c>
      <c r="C19" s="2" t="inlineStr">
        <is>
          <t xml:space="preserve">Whiteboard-of-Thought: Thinking Step-by-Step Across </t>
        </is>
      </c>
      <c r="D19" s="2" t="inlineStr">
        <is>
          <t>accuracy</t>
        </is>
      </c>
      <c r="E19" s="2" t="n">
        <v>19.6</v>
      </c>
      <c r="F19" s="2" t="inlineStr">
        <is>
          <t>D</t>
        </is>
      </c>
      <c r="G19" s="2" t="n">
        <v>15.2</v>
      </c>
      <c r="H19" s="2" t="n">
        <v>10.8</v>
      </c>
      <c r="I19" s="2" t="n">
        <v>19.6</v>
      </c>
      <c r="J19" s="2" t="inlineStr">
        <is>
          <t>250</t>
        </is>
      </c>
      <c r="K19" s="2" t="inlineStr">
        <is>
          <t>0</t>
        </is>
      </c>
      <c r="L19" s="2" t="inlineStr"/>
      <c r="M19" s="2" t="inlineStr">
        <is>
          <t>재현</t>
        </is>
      </c>
      <c r="N19" s="2" t="inlineStr"/>
      <c r="O19" s="3" t="n"/>
      <c r="P19" s="3" t="n"/>
      <c r="Q19" s="3" t="n"/>
      <c r="R19" s="3" t="n"/>
      <c r="S19" s="3" t="n"/>
      <c r="T19" s="3" t="n"/>
      <c r="U19" s="3" t="n"/>
      <c r="V19" s="3" t="n"/>
      <c r="W19" s="3" t="n"/>
      <c r="X19" s="2">
        <f>IF(COUNTA(O19:Q19)&lt;3,"",IF(AND(O19=P19,P19=Q19),O19,IF(O19=P19,O19,IF(O19=Q19,O19,IF(P19=Q19,P19,"판정 불능")))))</f>
        <v/>
      </c>
      <c r="Y19" s="2">
        <f>IF(COUNTA(O19:Q19)&lt;3,"",IF(AND(O19=P19,P19=Q19),"3/3",IF(OR(O19=P19,O19=Q19,P19=Q19),"2/3","0/3")))</f>
        <v/>
      </c>
    </row>
    <row r="20">
      <c r="A20" s="2" t="n">
        <v>19</v>
      </c>
      <c r="B20" s="2" t="inlineStr">
        <is>
          <t>W4399911276</t>
        </is>
      </c>
      <c r="C20" s="2" t="inlineStr">
        <is>
          <t xml:space="preserve">Whiteboard-of-Thought: Thinking Step-by-Step Across </t>
        </is>
      </c>
      <c r="D20" s="2" t="inlineStr">
        <is>
          <t>accuracy</t>
        </is>
      </c>
      <c r="E20" s="2" t="n">
        <v>19.6</v>
      </c>
      <c r="F20" s="2" t="inlineStr">
        <is>
          <t>E</t>
        </is>
      </c>
      <c r="G20" s="2" t="n">
        <v>69.94199999999999</v>
      </c>
      <c r="H20" s="2" t="n">
        <v>63.006</v>
      </c>
      <c r="I20" s="2" t="n">
        <v>76.879</v>
      </c>
      <c r="J20" s="2" t="inlineStr">
        <is>
          <t>173</t>
        </is>
      </c>
      <c r="K20" s="2" t="inlineStr">
        <is>
          <t>0</t>
        </is>
      </c>
      <c r="L20" s="2" t="inlineStr">
        <is>
          <t>예</t>
        </is>
      </c>
      <c r="M20" s="2" t="inlineStr">
        <is>
          <t>편차</t>
        </is>
      </c>
      <c r="N20" s="2" t="inlineStr"/>
      <c r="O20" s="3" t="n"/>
      <c r="P20" s="3" t="n"/>
      <c r="Q20" s="3" t="n"/>
      <c r="R20" s="3" t="n"/>
      <c r="S20" s="3" t="n"/>
      <c r="T20" s="3" t="n"/>
      <c r="U20" s="3" t="n"/>
      <c r="V20" s="3" t="n"/>
      <c r="W20" s="3" t="n"/>
      <c r="X20" s="2">
        <f>IF(COUNTA(O20:Q20)&lt;3,"",IF(AND(O20=P20,P20=Q20),O20,IF(O20=P20,O20,IF(O20=Q20,O20,IF(P20=Q20,P20,"판정 불능")))))</f>
        <v/>
      </c>
      <c r="Y20" s="2">
        <f>IF(COUNTA(O20:Q20)&lt;3,"",IF(AND(O20=P20,P20=Q20),"3/3",IF(OR(O20=P20,O20=Q20,P20=Q20),"2/3","0/3")))</f>
        <v/>
      </c>
    </row>
    <row r="21">
      <c r="A21" s="2" t="n">
        <v>20</v>
      </c>
      <c r="B21" s="2" t="inlineStr">
        <is>
          <t>W4399912745</t>
        </is>
      </c>
      <c r="C21" s="2" t="inlineStr">
        <is>
          <t xml:space="preserve">ALiiCE: Evaluating Positional Fine-grained Citation </t>
        </is>
      </c>
      <c r="D21" s="2" t="inlineStr">
        <is>
          <t>custom</t>
        </is>
      </c>
      <c r="E21" s="2" t="n">
        <v>47</v>
      </c>
      <c r="F21" s="2" t="inlineStr">
        <is>
          <t>A</t>
        </is>
      </c>
      <c r="G21" s="2" t="n">
        <v>46.716</v>
      </c>
      <c r="H21" s="2" t="n">
        <v>44.406</v>
      </c>
      <c r="I21" s="2" t="n">
        <v>49.173</v>
      </c>
      <c r="J21" s="2" t="inlineStr">
        <is>
          <t>707</t>
        </is>
      </c>
      <c r="K21" s="2" t="inlineStr">
        <is>
          <t>0</t>
        </is>
      </c>
      <c r="L21" s="2" t="inlineStr">
        <is>
          <t>예</t>
        </is>
      </c>
      <c r="M21" s="2" t="inlineStr">
        <is>
          <t>재현</t>
        </is>
      </c>
      <c r="N21" s="2" t="inlineStr"/>
      <c r="O21" s="3" t="n"/>
      <c r="P21" s="3" t="n"/>
      <c r="Q21" s="3" t="n"/>
      <c r="R21" s="3" t="n"/>
      <c r="S21" s="3" t="n"/>
      <c r="T21" s="3" t="n"/>
      <c r="U21" s="3" t="n"/>
      <c r="V21" s="3" t="n"/>
      <c r="W21" s="3" t="n"/>
      <c r="X21" s="2">
        <f>IF(COUNTA(O21:Q21)&lt;3,"",IF(AND(O21=P21,P21=Q21),O21,IF(O21=P21,O21,IF(O21=Q21,O21,IF(P21=Q21,P21,"판정 불능")))))</f>
        <v/>
      </c>
      <c r="Y21" s="2">
        <f>IF(COUNTA(O21:Q21)&lt;3,"",IF(AND(O21=P21,P21=Q21),"3/3",IF(OR(O21=P21,O21=Q21,P21=Q21),"2/3","0/3")))</f>
        <v/>
      </c>
    </row>
    <row r="22">
      <c r="A22" s="2" t="n">
        <v>21</v>
      </c>
      <c r="B22" s="2" t="inlineStr">
        <is>
          <t>W4399912745</t>
        </is>
      </c>
      <c r="C22" s="2" t="inlineStr">
        <is>
          <t xml:space="preserve">ALiiCE: Evaluating Positional Fine-grained Citation </t>
        </is>
      </c>
      <c r="D22" s="2" t="inlineStr">
        <is>
          <t>custom</t>
        </is>
      </c>
      <c r="E22" s="2" t="n">
        <v>47</v>
      </c>
      <c r="F22" s="2" t="inlineStr">
        <is>
          <t>B</t>
        </is>
      </c>
      <c r="G22" s="2" t="n">
        <v>45.583</v>
      </c>
      <c r="H22" s="2" t="n">
        <v>42.88</v>
      </c>
      <c r="I22" s="2" t="n">
        <v>48.202</v>
      </c>
      <c r="J22" s="2" t="inlineStr">
        <is>
          <t>595</t>
        </is>
      </c>
      <c r="K22" s="2" t="inlineStr">
        <is>
          <t>0</t>
        </is>
      </c>
      <c r="L22" s="2" t="inlineStr">
        <is>
          <t>예</t>
        </is>
      </c>
      <c r="M22" s="2" t="inlineStr">
        <is>
          <t>재현</t>
        </is>
      </c>
      <c r="N22" s="2" t="inlineStr"/>
      <c r="O22" s="3" t="n"/>
      <c r="P22" s="3" t="n"/>
      <c r="Q22" s="3" t="n"/>
      <c r="R22" s="3" t="n"/>
      <c r="S22" s="3" t="n"/>
      <c r="T22" s="3" t="n"/>
      <c r="U22" s="3" t="n"/>
      <c r="V22" s="3" t="n"/>
      <c r="W22" s="3" t="n"/>
      <c r="X22" s="2">
        <f>IF(COUNTA(O22:Q22)&lt;3,"",IF(AND(O22=P22,P22=Q22),O22,IF(O22=P22,O22,IF(O22=Q22,O22,IF(P22=Q22,P22,"판정 불능")))))</f>
        <v/>
      </c>
      <c r="Y22" s="2">
        <f>IF(COUNTA(O22:Q22)&lt;3,"",IF(AND(O22=P22,P22=Q22),"3/3",IF(OR(O22=P22,O22=Q22,P22=Q22),"2/3","0/3")))</f>
        <v/>
      </c>
    </row>
    <row r="23">
      <c r="A23" s="2" t="n">
        <v>22</v>
      </c>
      <c r="B23" s="2" t="inlineStr">
        <is>
          <t>W4399912745</t>
        </is>
      </c>
      <c r="C23" s="2" t="inlineStr">
        <is>
          <t xml:space="preserve">ALiiCE: Evaluating Positional Fine-grained Citation </t>
        </is>
      </c>
      <c r="D23" s="2" t="inlineStr">
        <is>
          <t>custom</t>
        </is>
      </c>
      <c r="E23" s="2" t="n">
        <v>47</v>
      </c>
      <c r="F23" s="2" t="inlineStr">
        <is>
          <t>C</t>
        </is>
      </c>
      <c r="G23" s="2" t="n">
        <v>47.138</v>
      </c>
      <c r="H23" s="2" t="n">
        <v>45.012</v>
      </c>
      <c r="I23" s="2" t="n">
        <v>49.406</v>
      </c>
      <c r="J23" s="2" t="inlineStr">
        <is>
          <t>948</t>
        </is>
      </c>
      <c r="K23" s="2" t="inlineStr">
        <is>
          <t>0</t>
        </is>
      </c>
      <c r="L23" s="2" t="inlineStr"/>
      <c r="M23" s="2" t="inlineStr">
        <is>
          <t>재현</t>
        </is>
      </c>
      <c r="N23" s="2" t="inlineStr"/>
      <c r="O23" s="3" t="n"/>
      <c r="P23" s="3" t="n"/>
      <c r="Q23" s="3" t="n"/>
      <c r="R23" s="3" t="n"/>
      <c r="S23" s="3" t="n"/>
      <c r="T23" s="3" t="n"/>
      <c r="U23" s="3" t="n"/>
      <c r="V23" s="3" t="n"/>
      <c r="W23" s="3" t="n"/>
      <c r="X23" s="2">
        <f>IF(COUNTA(O23:Q23)&lt;3,"",IF(AND(O23=P23,P23=Q23),O23,IF(O23=P23,O23,IF(O23=Q23,O23,IF(P23=Q23,P23,"판정 불능")))))</f>
        <v/>
      </c>
      <c r="Y23" s="2">
        <f>IF(COUNTA(O23:Q23)&lt;3,"",IF(AND(O23=P23,P23=Q23),"3/3",IF(OR(O23=P23,O23=Q23,P23=Q23),"2/3","0/3")))</f>
        <v/>
      </c>
    </row>
    <row r="24">
      <c r="A24" s="2" t="n">
        <v>23</v>
      </c>
      <c r="B24" s="2" t="inlineStr">
        <is>
          <t>W4399912745</t>
        </is>
      </c>
      <c r="C24" s="2" t="inlineStr">
        <is>
          <t xml:space="preserve">ALiiCE: Evaluating Positional Fine-grained Citation </t>
        </is>
      </c>
      <c r="D24" s="2" t="inlineStr">
        <is>
          <t>custom</t>
        </is>
      </c>
      <c r="E24" s="2" t="n">
        <v>47</v>
      </c>
      <c r="F24" s="2" t="inlineStr">
        <is>
          <t>D</t>
        </is>
      </c>
      <c r="G24" s="2" t="n">
        <v>37.59830944505696</v>
      </c>
      <c r="H24" s="2" t="n">
        <v>35.51796214626975</v>
      </c>
      <c r="I24" s="2" t="n">
        <v>39.55379456082323</v>
      </c>
      <c r="J24" s="2" t="n">
        <v>907</v>
      </c>
      <c r="K24" s="2" t="n">
        <v>0</v>
      </c>
      <c r="L24" s="2" t="inlineStr">
        <is>
          <t>예</t>
        </is>
      </c>
      <c r="M24" s="2" t="inlineStr">
        <is>
          <t>편차</t>
        </is>
      </c>
      <c r="N24" s="2" t="inlineStr"/>
      <c r="O24" s="3" t="n"/>
      <c r="P24" s="3" t="n"/>
      <c r="Q24" s="3" t="n"/>
      <c r="R24" s="3" t="n"/>
      <c r="S24" s="3" t="n"/>
      <c r="T24" s="3" t="n"/>
      <c r="U24" s="3" t="n"/>
      <c r="V24" s="3" t="n"/>
      <c r="W24" s="3" t="n"/>
      <c r="X24" s="2">
        <f>IF(COUNTA(O24:Q24)&lt;3,"",IF(AND(O24=P24,P24=Q24),O24,IF(O24=P24,O24,IF(O24=Q24,O24,IF(P24=Q24,P24,"판정 불능")))))</f>
        <v/>
      </c>
      <c r="Y24" s="2">
        <f>IF(COUNTA(O24:Q24)&lt;3,"",IF(AND(O24=P24,P24=Q24),"3/3",IF(OR(O24=P24,O24=Q24,P24=Q24),"2/3","0/3")))</f>
        <v/>
      </c>
    </row>
    <row r="25">
      <c r="A25" s="2" t="n">
        <v>24</v>
      </c>
      <c r="B25" s="2" t="inlineStr">
        <is>
          <t>W4399912745</t>
        </is>
      </c>
      <c r="C25" s="2" t="inlineStr">
        <is>
          <t xml:space="preserve">ALiiCE: Evaluating Positional Fine-grained Citation </t>
        </is>
      </c>
      <c r="D25" s="2" t="inlineStr">
        <is>
          <t>custom</t>
        </is>
      </c>
      <c r="E25" s="2" t="n">
        <v>47</v>
      </c>
      <c r="F25" s="2" t="inlineStr">
        <is>
          <t>E</t>
        </is>
      </c>
      <c r="G25" s="2" t="n">
        <v>49.033</v>
      </c>
      <c r="H25" s="2" t="n">
        <v>46.858</v>
      </c>
      <c r="I25" s="2" t="n">
        <v>51.231</v>
      </c>
      <c r="J25" s="2" t="inlineStr">
        <is>
          <t>948</t>
        </is>
      </c>
      <c r="K25" s="2" t="inlineStr">
        <is>
          <t>0</t>
        </is>
      </c>
      <c r="L25" s="2" t="inlineStr"/>
      <c r="M25" s="2" t="inlineStr">
        <is>
          <t>재현</t>
        </is>
      </c>
      <c r="N25" s="2" t="inlineStr"/>
      <c r="O25" s="3" t="n"/>
      <c r="P25" s="3" t="n"/>
      <c r="Q25" s="3" t="n"/>
      <c r="R25" s="3" t="n"/>
      <c r="S25" s="3" t="n"/>
      <c r="T25" s="3" t="n"/>
      <c r="U25" s="3" t="n"/>
      <c r="V25" s="3" t="n"/>
      <c r="W25" s="3" t="n"/>
      <c r="X25" s="2">
        <f>IF(COUNTA(O25:Q25)&lt;3,"",IF(AND(O25=P25,P25=Q25),O25,IF(O25=P25,O25,IF(O25=Q25,O25,IF(P25=Q25,P25,"판정 불능")))))</f>
        <v/>
      </c>
      <c r="Y25" s="2">
        <f>IF(COUNTA(O25:Q25)&lt;3,"",IF(AND(O25=P25,P25=Q25),"3/3",IF(OR(O25=P25,O25=Q25,P25=Q25),"2/3","0/3")))</f>
        <v/>
      </c>
    </row>
    <row r="26">
      <c r="A26" s="2" t="n">
        <v>25</v>
      </c>
      <c r="B26" s="2" t="inlineStr">
        <is>
          <t>W4400065264</t>
        </is>
      </c>
      <c r="C26" s="2" t="inlineStr">
        <is>
          <t>Following Length Constraints in Instructions</t>
        </is>
      </c>
      <c r="D26" s="2" t="inlineStr">
        <is>
          <t>custom</t>
        </is>
      </c>
      <c r="E26" s="2" t="n">
        <v>49.3</v>
      </c>
      <c r="F26" s="2" t="inlineStr">
        <is>
          <t>A</t>
        </is>
      </c>
      <c r="G26" s="2" t="n">
        <v>13.092</v>
      </c>
      <c r="H26" s="2" t="n">
        <v>10.723</v>
      </c>
      <c r="I26" s="2" t="n">
        <v>15.461</v>
      </c>
      <c r="J26" s="2" t="inlineStr">
        <is>
          <t>802</t>
        </is>
      </c>
      <c r="K26" s="2" t="inlineStr">
        <is>
          <t>0</t>
        </is>
      </c>
      <c r="L26" s="2" t="inlineStr"/>
      <c r="M26" s="2" t="inlineStr">
        <is>
          <t>편차</t>
        </is>
      </c>
      <c r="N26" s="2" t="inlineStr"/>
      <c r="O26" s="3" t="n"/>
      <c r="P26" s="3" t="n"/>
      <c r="Q26" s="3" t="n"/>
      <c r="R26" s="3" t="n"/>
      <c r="S26" s="3" t="n"/>
      <c r="T26" s="3" t="n"/>
      <c r="U26" s="3" t="n"/>
      <c r="V26" s="3" t="n"/>
      <c r="W26" s="3" t="n"/>
      <c r="X26" s="2">
        <f>IF(COUNTA(O26:Q26)&lt;3,"",IF(AND(O26=P26,P26=Q26),O26,IF(O26=P26,O26,IF(O26=Q26,O26,IF(P26=Q26,P26,"판정 불능")))))</f>
        <v/>
      </c>
      <c r="Y26" s="2">
        <f>IF(COUNTA(O26:Q26)&lt;3,"",IF(AND(O26=P26,P26=Q26),"3/3",IF(OR(O26=P26,O26=Q26,P26=Q26),"2/3","0/3")))</f>
        <v/>
      </c>
    </row>
    <row r="27">
      <c r="A27" s="2" t="n">
        <v>26</v>
      </c>
      <c r="B27" s="2" t="inlineStr">
        <is>
          <t>W4400065264</t>
        </is>
      </c>
      <c r="C27" s="2" t="inlineStr">
        <is>
          <t>Following Length Constraints in Instructions</t>
        </is>
      </c>
      <c r="D27" s="2" t="inlineStr">
        <is>
          <t>custom</t>
        </is>
      </c>
      <c r="E27" s="2" t="n">
        <v>49.3</v>
      </c>
      <c r="F27" s="2" t="inlineStr">
        <is>
          <t>B</t>
        </is>
      </c>
      <c r="G27" s="2" t="n">
        <v>12.968</v>
      </c>
      <c r="H27" s="2" t="n">
        <v>10.599</v>
      </c>
      <c r="I27" s="2" t="n">
        <v>15.337</v>
      </c>
      <c r="J27" s="2" t="inlineStr">
        <is>
          <t>802</t>
        </is>
      </c>
      <c r="K27" s="2" t="inlineStr">
        <is>
          <t>0</t>
        </is>
      </c>
      <c r="L27" s="2" t="inlineStr"/>
      <c r="M27" s="2" t="inlineStr">
        <is>
          <t>편차</t>
        </is>
      </c>
      <c r="N27" s="2" t="inlineStr"/>
      <c r="O27" s="3" t="n"/>
      <c r="P27" s="3" t="n"/>
      <c r="Q27" s="3" t="n"/>
      <c r="R27" s="3" t="n"/>
      <c r="S27" s="3" t="n"/>
      <c r="T27" s="3" t="n"/>
      <c r="U27" s="3" t="n"/>
      <c r="V27" s="3" t="n"/>
      <c r="W27" s="3" t="n"/>
      <c r="X27" s="2">
        <f>IF(COUNTA(O27:Q27)&lt;3,"",IF(AND(O27=P27,P27=Q27),O27,IF(O27=P27,O27,IF(O27=Q27,O27,IF(P27=Q27,P27,"판정 불능")))))</f>
        <v/>
      </c>
      <c r="Y27" s="2">
        <f>IF(COUNTA(O27:Q27)&lt;3,"",IF(AND(O27=P27,P27=Q27),"3/3",IF(OR(O27=P27,O27=Q27,P27=Q27),"2/3","0/3")))</f>
        <v/>
      </c>
    </row>
    <row r="28">
      <c r="A28" s="2" t="n">
        <v>27</v>
      </c>
      <c r="B28" s="2" t="inlineStr">
        <is>
          <t>W4400065264</t>
        </is>
      </c>
      <c r="C28" s="2" t="inlineStr">
        <is>
          <t>Following Length Constraints in Instructions</t>
        </is>
      </c>
      <c r="D28" s="2" t="inlineStr">
        <is>
          <t>custom</t>
        </is>
      </c>
      <c r="E28" s="2" t="n">
        <v>49.3</v>
      </c>
      <c r="F28" s="2" t="inlineStr">
        <is>
          <t>C</t>
        </is>
      </c>
      <c r="G28" s="2" t="n">
        <v>53.36658354114713</v>
      </c>
      <c r="H28" s="2" t="n">
        <v>49.87531172069826</v>
      </c>
      <c r="I28" s="2" t="n">
        <v>56.85785536159601</v>
      </c>
      <c r="J28" s="2" t="n">
        <v>802</v>
      </c>
      <c r="K28" s="2" t="n">
        <v>0</v>
      </c>
      <c r="L28" s="2" t="inlineStr"/>
      <c r="M28" s="2" t="inlineStr">
        <is>
          <t>근접</t>
        </is>
      </c>
      <c r="N28" s="2" t="inlineStr"/>
      <c r="O28" s="3" t="n"/>
      <c r="P28" s="3" t="n"/>
      <c r="Q28" s="3" t="n"/>
      <c r="R28" s="3" t="n"/>
      <c r="S28" s="3" t="n"/>
      <c r="T28" s="3" t="n"/>
      <c r="U28" s="3" t="n"/>
      <c r="V28" s="3" t="n"/>
      <c r="W28" s="3" t="n"/>
      <c r="X28" s="2">
        <f>IF(COUNTA(O28:Q28)&lt;3,"",IF(AND(O28=P28,P28=Q28),O28,IF(O28=P28,O28,IF(O28=Q28,O28,IF(P28=Q28,P28,"판정 불능")))))</f>
        <v/>
      </c>
      <c r="Y28" s="2">
        <f>IF(COUNTA(O28:Q28)&lt;3,"",IF(AND(O28=P28,P28=Q28),"3/3",IF(OR(O28=P28,O28=Q28,P28=Q28),"2/3","0/3")))</f>
        <v/>
      </c>
    </row>
    <row r="29">
      <c r="A29" s="2" t="n">
        <v>28</v>
      </c>
      <c r="B29" s="2" t="inlineStr">
        <is>
          <t>W4400065264</t>
        </is>
      </c>
      <c r="C29" s="2" t="inlineStr">
        <is>
          <t>Following Length Constraints in Instructions</t>
        </is>
      </c>
      <c r="D29" s="2" t="inlineStr">
        <is>
          <t>custom</t>
        </is>
      </c>
      <c r="E29" s="2" t="n">
        <v>49.3</v>
      </c>
      <c r="F29" s="2" t="inlineStr">
        <is>
          <t>D</t>
        </is>
      </c>
      <c r="G29" s="2" t="n">
        <v>0.623</v>
      </c>
      <c r="H29" s="2" t="n">
        <v>0.125</v>
      </c>
      <c r="I29" s="2" t="n">
        <v>1.247</v>
      </c>
      <c r="J29" s="2" t="inlineStr">
        <is>
          <t>802</t>
        </is>
      </c>
      <c r="K29" s="2" t="inlineStr">
        <is>
          <t>0</t>
        </is>
      </c>
      <c r="L29" s="2" t="inlineStr"/>
      <c r="M29" s="2" t="inlineStr">
        <is>
          <t>편차</t>
        </is>
      </c>
      <c r="N29" s="2" t="inlineStr"/>
      <c r="O29" s="3" t="n"/>
      <c r="P29" s="3" t="n"/>
      <c r="Q29" s="3" t="n"/>
      <c r="R29" s="3" t="n"/>
      <c r="S29" s="3" t="n"/>
      <c r="T29" s="3" t="n"/>
      <c r="U29" s="3" t="n"/>
      <c r="V29" s="3" t="n"/>
      <c r="W29" s="3" t="n"/>
      <c r="X29" s="2">
        <f>IF(COUNTA(O29:Q29)&lt;3,"",IF(AND(O29=P29,P29=Q29),O29,IF(O29=P29,O29,IF(O29=Q29,O29,IF(P29=Q29,P29,"판정 불능")))))</f>
        <v/>
      </c>
      <c r="Y29" s="2">
        <f>IF(COUNTA(O29:Q29)&lt;3,"",IF(AND(O29=P29,P29=Q29),"3/3",IF(OR(O29=P29,O29=Q29,P29=Q29),"2/3","0/3")))</f>
        <v/>
      </c>
    </row>
    <row r="30">
      <c r="A30" s="2" t="n">
        <v>29</v>
      </c>
      <c r="B30" s="2" t="inlineStr">
        <is>
          <t>W4400065264</t>
        </is>
      </c>
      <c r="C30" s="2" t="inlineStr">
        <is>
          <t>Following Length Constraints in Instructions</t>
        </is>
      </c>
      <c r="D30" s="2" t="inlineStr">
        <is>
          <t>custom</t>
        </is>
      </c>
      <c r="E30" s="2" t="n">
        <v>49.3</v>
      </c>
      <c r="F30" s="2" t="inlineStr">
        <is>
          <t>E</t>
        </is>
      </c>
      <c r="G30" s="2" t="n">
        <v>8.105</v>
      </c>
      <c r="H30" s="2" t="n">
        <v>6.234</v>
      </c>
      <c r="I30" s="2" t="n">
        <v>10.1</v>
      </c>
      <c r="J30" s="2" t="inlineStr">
        <is>
          <t>802</t>
        </is>
      </c>
      <c r="K30" s="2" t="inlineStr">
        <is>
          <t>0</t>
        </is>
      </c>
      <c r="L30" s="2" t="inlineStr"/>
      <c r="M30" s="2" t="inlineStr">
        <is>
          <t>편차</t>
        </is>
      </c>
      <c r="N30" s="2" t="inlineStr"/>
      <c r="O30" s="3" t="n"/>
      <c r="P30" s="3" t="n"/>
      <c r="Q30" s="3" t="n"/>
      <c r="R30" s="3" t="n"/>
      <c r="S30" s="3" t="n"/>
      <c r="T30" s="3" t="n"/>
      <c r="U30" s="3" t="n"/>
      <c r="V30" s="3" t="n"/>
      <c r="W30" s="3" t="n"/>
      <c r="X30" s="2">
        <f>IF(COUNTA(O30:Q30)&lt;3,"",IF(AND(O30=P30,P30=Q30),O30,IF(O30=P30,O30,IF(O30=Q30,O30,IF(P30=Q30,P30,"판정 불능")))))</f>
        <v/>
      </c>
      <c r="Y30" s="2">
        <f>IF(COUNTA(O30:Q30)&lt;3,"",IF(AND(O30=P30,P30=Q30),"3/3",IF(OR(O30=P30,O30=Q30,P30=Q30),"2/3","0/3")))</f>
        <v/>
      </c>
    </row>
    <row r="31">
      <c r="A31" s="2" t="n">
        <v>30</v>
      </c>
      <c r="B31" s="2" t="inlineStr">
        <is>
          <t>W4400375186</t>
        </is>
      </c>
      <c r="C31" s="2" t="inlineStr">
        <is>
          <t>CEB: Compositional Evaluation Benchmark for Fairness</t>
        </is>
      </c>
      <c r="D31" s="2" t="inlineStr">
        <is>
          <t>micro_f1</t>
        </is>
      </c>
      <c r="E31" s="2" t="n">
        <v>69.5</v>
      </c>
      <c r="F31" s="2" t="inlineStr">
        <is>
          <t>A</t>
        </is>
      </c>
      <c r="G31" s="2" t="n">
        <v>68</v>
      </c>
      <c r="H31" s="2" t="n">
        <v>61</v>
      </c>
      <c r="I31" s="2" t="n">
        <v>74.5</v>
      </c>
      <c r="J31" s="2" t="n">
        <v>200</v>
      </c>
      <c r="K31" s="2" t="n">
        <v>0</v>
      </c>
      <c r="L31" s="2" t="inlineStr"/>
      <c r="M31" s="2" t="inlineStr">
        <is>
          <t>재현</t>
        </is>
      </c>
      <c r="N31" s="2" t="inlineStr"/>
      <c r="O31" s="3" t="n"/>
      <c r="P31" s="3" t="n"/>
      <c r="Q31" s="3" t="n"/>
      <c r="R31" s="3" t="n"/>
      <c r="S31" s="3" t="n"/>
      <c r="T31" s="3" t="n"/>
      <c r="U31" s="3" t="n"/>
      <c r="V31" s="3" t="n"/>
      <c r="W31" s="3" t="n"/>
      <c r="X31" s="2">
        <f>IF(COUNTA(O31:Q31)&lt;3,"",IF(AND(O31=P31,P31=Q31),O31,IF(O31=P31,O31,IF(O31=Q31,O31,IF(P31=Q31,P31,"판정 불능")))))</f>
        <v/>
      </c>
      <c r="Y31" s="2">
        <f>IF(COUNTA(O31:Q31)&lt;3,"",IF(AND(O31=P31,P31=Q31),"3/3",IF(OR(O31=P31,O31=Q31,P31=Q31),"2/3","0/3")))</f>
        <v/>
      </c>
    </row>
    <row r="32">
      <c r="A32" s="2" t="n">
        <v>31</v>
      </c>
      <c r="B32" s="2" t="inlineStr">
        <is>
          <t>W4400375186</t>
        </is>
      </c>
      <c r="C32" s="2" t="inlineStr">
        <is>
          <t>CEB: Compositional Evaluation Benchmark for Fairness</t>
        </is>
      </c>
      <c r="D32" s="2" t="inlineStr">
        <is>
          <t>micro_f1</t>
        </is>
      </c>
      <c r="E32" s="2" t="n">
        <v>69.5</v>
      </c>
      <c r="F32" s="2" t="inlineStr">
        <is>
          <t>B</t>
        </is>
      </c>
      <c r="G32" s="2" t="n">
        <v>83</v>
      </c>
      <c r="H32" s="2" t="n">
        <v>77.5</v>
      </c>
      <c r="I32" s="2" t="n">
        <v>88.5</v>
      </c>
      <c r="J32" s="2" t="inlineStr">
        <is>
          <t>200</t>
        </is>
      </c>
      <c r="K32" s="2" t="inlineStr">
        <is>
          <t>0</t>
        </is>
      </c>
      <c r="L32" s="2" t="inlineStr"/>
      <c r="M32" s="2" t="inlineStr">
        <is>
          <t>편차</t>
        </is>
      </c>
      <c r="N32" s="2" t="inlineStr"/>
      <c r="O32" s="3" t="n"/>
      <c r="P32" s="3" t="n"/>
      <c r="Q32" s="3" t="n"/>
      <c r="R32" s="3" t="n"/>
      <c r="S32" s="3" t="n"/>
      <c r="T32" s="3" t="n"/>
      <c r="U32" s="3" t="n"/>
      <c r="V32" s="3" t="n"/>
      <c r="W32" s="3" t="n"/>
      <c r="X32" s="2">
        <f>IF(COUNTA(O32:Q32)&lt;3,"",IF(AND(O32=P32,P32=Q32),O32,IF(O32=P32,O32,IF(O32=Q32,O32,IF(P32=Q32,P32,"판정 불능")))))</f>
        <v/>
      </c>
      <c r="Y32" s="2">
        <f>IF(COUNTA(O32:Q32)&lt;3,"",IF(AND(O32=P32,P32=Q32),"3/3",IF(OR(O32=P32,O32=Q32,P32=Q32),"2/3","0/3")))</f>
        <v/>
      </c>
    </row>
    <row r="33">
      <c r="A33" s="2" t="n">
        <v>32</v>
      </c>
      <c r="B33" s="2" t="inlineStr">
        <is>
          <t>W4400375186</t>
        </is>
      </c>
      <c r="C33" s="2" t="inlineStr">
        <is>
          <t>CEB: Compositional Evaluation Benchmark for Fairness</t>
        </is>
      </c>
      <c r="D33" s="2" t="inlineStr">
        <is>
          <t>micro_f1</t>
        </is>
      </c>
      <c r="E33" s="2" t="n">
        <v>69.5</v>
      </c>
      <c r="F33" s="2" t="inlineStr">
        <is>
          <t>C</t>
        </is>
      </c>
      <c r="G33" s="2" t="n">
        <v>94.11799999999999</v>
      </c>
      <c r="H33" s="2" t="n">
        <v>90.441</v>
      </c>
      <c r="I33" s="2" t="n">
        <v>97.794</v>
      </c>
      <c r="J33" s="2" t="inlineStr">
        <is>
          <t>136</t>
        </is>
      </c>
      <c r="K33" s="2" t="inlineStr">
        <is>
          <t>0</t>
        </is>
      </c>
      <c r="L33" s="2" t="inlineStr">
        <is>
          <t>예</t>
        </is>
      </c>
      <c r="M33" s="2" t="inlineStr">
        <is>
          <t>편차</t>
        </is>
      </c>
      <c r="N33" s="2" t="inlineStr"/>
      <c r="O33" s="3" t="n"/>
      <c r="P33" s="3" t="n"/>
      <c r="Q33" s="3" t="n"/>
      <c r="R33" s="3" t="n"/>
      <c r="S33" s="3" t="n"/>
      <c r="T33" s="3" t="n"/>
      <c r="U33" s="3" t="n"/>
      <c r="V33" s="3" t="n"/>
      <c r="W33" s="3" t="n"/>
      <c r="X33" s="2">
        <f>IF(COUNTA(O33:Q33)&lt;3,"",IF(AND(O33=P33,P33=Q33),O33,IF(O33=P33,O33,IF(O33=Q33,O33,IF(P33=Q33,P33,"판정 불능")))))</f>
        <v/>
      </c>
      <c r="Y33" s="2">
        <f>IF(COUNTA(O33:Q33)&lt;3,"",IF(AND(O33=P33,P33=Q33),"3/3",IF(OR(O33=P33,O33=Q33,P33=Q33),"2/3","0/3")))</f>
        <v/>
      </c>
    </row>
    <row r="34">
      <c r="A34" s="2" t="n">
        <v>33</v>
      </c>
      <c r="B34" s="2" t="inlineStr">
        <is>
          <t>W4400434899</t>
        </is>
      </c>
      <c r="C34" s="2" t="inlineStr">
        <is>
          <t>Are Large Language Models Strategic Decision Makers?</t>
        </is>
      </c>
      <c r="D34" s="2" t="inlineStr">
        <is>
          <t>accuracy</t>
        </is>
      </c>
      <c r="E34" s="2" t="n">
        <v>25.5</v>
      </c>
      <c r="F34" s="2" t="inlineStr">
        <is>
          <t>A</t>
        </is>
      </c>
      <c r="G34" s="2" t="n">
        <v>26.20833333333333</v>
      </c>
      <c r="H34" s="2" t="n">
        <v>23.5</v>
      </c>
      <c r="I34" s="2" t="n">
        <v>29.375</v>
      </c>
      <c r="J34" s="2" t="n">
        <v>800</v>
      </c>
      <c r="K34" s="2" t="n">
        <v>0</v>
      </c>
      <c r="L34" s="2" t="inlineStr"/>
      <c r="M34" s="2" t="inlineStr">
        <is>
          <t>재현</t>
        </is>
      </c>
      <c r="N34" s="2" t="inlineStr"/>
      <c r="O34" s="3" t="n"/>
      <c r="P34" s="3" t="n"/>
      <c r="Q34" s="3" t="n"/>
      <c r="R34" s="3" t="n"/>
      <c r="S34" s="3" t="n"/>
      <c r="T34" s="3" t="n"/>
      <c r="U34" s="3" t="n"/>
      <c r="V34" s="3" t="n"/>
      <c r="W34" s="3" t="n"/>
      <c r="X34" s="2">
        <f>IF(COUNTA(O34:Q34)&lt;3,"",IF(AND(O34=P34,P34=Q34),O34,IF(O34=P34,O34,IF(O34=Q34,O34,IF(P34=Q34,P34,"판정 불능")))))</f>
        <v/>
      </c>
      <c r="Y34" s="2">
        <f>IF(COUNTA(O34:Q34)&lt;3,"",IF(AND(O34=P34,P34=Q34),"3/3",IF(OR(O34=P34,O34=Q34,P34=Q34),"2/3","0/3")))</f>
        <v/>
      </c>
    </row>
    <row r="35">
      <c r="A35" s="2" t="n">
        <v>34</v>
      </c>
      <c r="B35" s="2" t="inlineStr">
        <is>
          <t>W4400434899</t>
        </is>
      </c>
      <c r="C35" s="2" t="inlineStr">
        <is>
          <t>Are Large Language Models Strategic Decision Makers?</t>
        </is>
      </c>
      <c r="D35" s="2" t="inlineStr">
        <is>
          <t>accuracy</t>
        </is>
      </c>
      <c r="E35" s="2" t="n">
        <v>25.5</v>
      </c>
      <c r="F35" s="2" t="inlineStr">
        <is>
          <t>B</t>
        </is>
      </c>
      <c r="G35" s="2" t="n">
        <v>37.856</v>
      </c>
      <c r="H35" s="2" t="n">
        <v>34.328</v>
      </c>
      <c r="I35" s="2" t="n">
        <v>41.52</v>
      </c>
      <c r="J35" s="2" t="inlineStr">
        <is>
          <t>737</t>
        </is>
      </c>
      <c r="K35" s="2" t="inlineStr">
        <is>
          <t>0</t>
        </is>
      </c>
      <c r="L35" s="2" t="inlineStr">
        <is>
          <t>예</t>
        </is>
      </c>
      <c r="M35" s="2" t="inlineStr">
        <is>
          <t>편차</t>
        </is>
      </c>
      <c r="N35" s="2" t="inlineStr"/>
      <c r="O35" s="3" t="n"/>
      <c r="P35" s="3" t="n"/>
      <c r="Q35" s="3" t="n"/>
      <c r="R35" s="3" t="n"/>
      <c r="S35" s="3" t="n"/>
      <c r="T35" s="3" t="n"/>
      <c r="U35" s="3" t="n"/>
      <c r="V35" s="3" t="n"/>
      <c r="W35" s="3" t="n"/>
      <c r="X35" s="2">
        <f>IF(COUNTA(O35:Q35)&lt;3,"",IF(AND(O35=P35,P35=Q35),O35,IF(O35=P35,O35,IF(O35=Q35,O35,IF(P35=Q35,P35,"판정 불능")))))</f>
        <v/>
      </c>
      <c r="Y35" s="2">
        <f>IF(COUNTA(O35:Q35)&lt;3,"",IF(AND(O35=P35,P35=Q35),"3/3",IF(OR(O35=P35,O35=Q35,P35=Q35),"2/3","0/3")))</f>
        <v/>
      </c>
    </row>
    <row r="36">
      <c r="A36" s="2" t="n">
        <v>35</v>
      </c>
      <c r="B36" s="2" t="inlineStr">
        <is>
          <t>W4400434899</t>
        </is>
      </c>
      <c r="C36" s="2" t="inlineStr">
        <is>
          <t>Are Large Language Models Strategic Decision Makers?</t>
        </is>
      </c>
      <c r="D36" s="2" t="inlineStr">
        <is>
          <t>accuracy</t>
        </is>
      </c>
      <c r="E36" s="2" t="n">
        <v>25.5</v>
      </c>
      <c r="F36" s="2" t="inlineStr">
        <is>
          <t>C</t>
        </is>
      </c>
      <c r="G36" s="2" t="n">
        <v>50</v>
      </c>
      <c r="H36" s="2" t="n">
        <v>46.5</v>
      </c>
      <c r="I36" s="2" t="n">
        <v>53.625</v>
      </c>
      <c r="J36" s="2" t="inlineStr">
        <is>
          <t>800</t>
        </is>
      </c>
      <c r="K36" s="2" t="inlineStr">
        <is>
          <t>0</t>
        </is>
      </c>
      <c r="L36" s="2" t="inlineStr"/>
      <c r="M36" s="2" t="inlineStr">
        <is>
          <t>편차</t>
        </is>
      </c>
      <c r="N36" s="2" t="inlineStr"/>
      <c r="O36" s="3" t="n"/>
      <c r="P36" s="3" t="n"/>
      <c r="Q36" s="3" t="n"/>
      <c r="R36" s="3" t="n"/>
      <c r="S36" s="3" t="n"/>
      <c r="T36" s="3" t="n"/>
      <c r="U36" s="3" t="n"/>
      <c r="V36" s="3" t="n"/>
      <c r="W36" s="3" t="n"/>
      <c r="X36" s="2">
        <f>IF(COUNTA(O36:Q36)&lt;3,"",IF(AND(O36=P36,P36=Q36),O36,IF(O36=P36,O36,IF(O36=Q36,O36,IF(P36=Q36,P36,"판정 불능")))))</f>
        <v/>
      </c>
      <c r="Y36" s="2">
        <f>IF(COUNTA(O36:Q36)&lt;3,"",IF(AND(O36=P36,P36=Q36),"3/3",IF(OR(O36=P36,O36=Q36,P36=Q36),"2/3","0/3")))</f>
        <v/>
      </c>
    </row>
    <row r="37">
      <c r="A37" s="2" t="n">
        <v>36</v>
      </c>
      <c r="B37" s="2" t="inlineStr">
        <is>
          <t>W4400434899</t>
        </is>
      </c>
      <c r="C37" s="2" t="inlineStr">
        <is>
          <t>Are Large Language Models Strategic Decision Makers?</t>
        </is>
      </c>
      <c r="D37" s="2" t="inlineStr">
        <is>
          <t>accuracy</t>
        </is>
      </c>
      <c r="E37" s="2" t="n">
        <v>25.5</v>
      </c>
      <c r="F37" s="2" t="inlineStr">
        <is>
          <t>D</t>
        </is>
      </c>
      <c r="G37" s="2" t="n">
        <v>50.552</v>
      </c>
      <c r="H37" s="2" t="n">
        <v>46.958</v>
      </c>
      <c r="I37" s="2" t="n">
        <v>54.282</v>
      </c>
      <c r="J37" s="2" t="inlineStr">
        <is>
          <t>724</t>
        </is>
      </c>
      <c r="K37" s="2" t="inlineStr">
        <is>
          <t>0</t>
        </is>
      </c>
      <c r="L37" s="2" t="inlineStr">
        <is>
          <t>예</t>
        </is>
      </c>
      <c r="M37" s="2" t="inlineStr">
        <is>
          <t>편차</t>
        </is>
      </c>
      <c r="N37" s="2" t="inlineStr"/>
      <c r="O37" s="3" t="n"/>
      <c r="P37" s="3" t="n"/>
      <c r="Q37" s="3" t="n"/>
      <c r="R37" s="3" t="n"/>
      <c r="S37" s="3" t="n"/>
      <c r="T37" s="3" t="n"/>
      <c r="U37" s="3" t="n"/>
      <c r="V37" s="3" t="n"/>
      <c r="W37" s="3" t="n"/>
      <c r="X37" s="2">
        <f>IF(COUNTA(O37:Q37)&lt;3,"",IF(AND(O37=P37,P37=Q37),O37,IF(O37=P37,O37,IF(O37=Q37,O37,IF(P37=Q37,P37,"판정 불능")))))</f>
        <v/>
      </c>
      <c r="Y37" s="2">
        <f>IF(COUNTA(O37:Q37)&lt;3,"",IF(AND(O37=P37,P37=Q37),"3/3",IF(OR(O37=P37,O37=Q37,P37=Q37),"2/3","0/3")))</f>
        <v/>
      </c>
    </row>
    <row r="38">
      <c r="A38" s="2" t="n">
        <v>37</v>
      </c>
      <c r="B38" s="2" t="inlineStr">
        <is>
          <t>W4400434899</t>
        </is>
      </c>
      <c r="C38" s="2" t="inlineStr">
        <is>
          <t>Are Large Language Models Strategic Decision Makers?</t>
        </is>
      </c>
      <c r="D38" s="2" t="inlineStr">
        <is>
          <t>accuracy</t>
        </is>
      </c>
      <c r="E38" s="2" t="n">
        <v>25.5</v>
      </c>
      <c r="F38" s="2" t="inlineStr">
        <is>
          <t>E</t>
        </is>
      </c>
      <c r="G38" s="2" t="n">
        <v>50</v>
      </c>
      <c r="H38" s="2" t="n">
        <v>46.625</v>
      </c>
      <c r="I38" s="2" t="n">
        <v>53.25</v>
      </c>
      <c r="J38" s="2" t="inlineStr">
        <is>
          <t>800</t>
        </is>
      </c>
      <c r="K38" s="2" t="inlineStr">
        <is>
          <t>0</t>
        </is>
      </c>
      <c r="L38" s="2" t="inlineStr"/>
      <c r="M38" s="2" t="inlineStr">
        <is>
          <t>편차</t>
        </is>
      </c>
      <c r="N38" s="2" t="inlineStr"/>
      <c r="O38" s="3" t="n"/>
      <c r="P38" s="3" t="n"/>
      <c r="Q38" s="3" t="n"/>
      <c r="R38" s="3" t="n"/>
      <c r="S38" s="3" t="n"/>
      <c r="T38" s="3" t="n"/>
      <c r="U38" s="3" t="n"/>
      <c r="V38" s="3" t="n"/>
      <c r="W38" s="3" t="n"/>
      <c r="X38" s="2">
        <f>IF(COUNTA(O38:Q38)&lt;3,"",IF(AND(O38=P38,P38=Q38),O38,IF(O38=P38,O38,IF(O38=Q38,O38,IF(P38=Q38,P38,"판정 불능")))))</f>
        <v/>
      </c>
      <c r="Y38" s="2">
        <f>IF(COUNTA(O38:Q38)&lt;3,"",IF(AND(O38=P38,P38=Q38),"3/3",IF(OR(O38=P38,O38=Q38,P38=Q38),"2/3","0/3")))</f>
        <v/>
      </c>
    </row>
    <row r="39">
      <c r="A39" s="2" t="n">
        <v>38</v>
      </c>
      <c r="B39" s="2" t="inlineStr">
        <is>
          <t>W4400611869</t>
        </is>
      </c>
      <c r="C39" s="2" t="inlineStr">
        <is>
          <t>Lynx: An Open Source Hallucination Evaluation Model</t>
        </is>
      </c>
      <c r="D39" s="2" t="inlineStr">
        <is>
          <t>accuracy</t>
        </is>
      </c>
      <c r="E39" s="2" t="n">
        <v>82.2</v>
      </c>
      <c r="F39" s="2" t="inlineStr">
        <is>
          <t>A</t>
        </is>
      </c>
      <c r="G39" s="2" t="n">
        <v>88.283</v>
      </c>
      <c r="H39" s="2" t="n">
        <v>86.361</v>
      </c>
      <c r="I39" s="2" t="n">
        <v>90.303</v>
      </c>
      <c r="J39" s="2" t="inlineStr">
        <is>
          <t>990</t>
        </is>
      </c>
      <c r="K39" s="2" t="inlineStr">
        <is>
          <t>1</t>
        </is>
      </c>
      <c r="L39" s="2" t="inlineStr">
        <is>
          <t>예</t>
        </is>
      </c>
      <c r="M39" s="2" t="inlineStr">
        <is>
          <t>편차</t>
        </is>
      </c>
      <c r="N39" s="2" t="inlineStr"/>
      <c r="O39" s="3" t="n"/>
      <c r="P39" s="3" t="n"/>
      <c r="Q39" s="3" t="n"/>
      <c r="R39" s="3" t="n"/>
      <c r="S39" s="3" t="n"/>
      <c r="T39" s="3" t="n"/>
      <c r="U39" s="3" t="n"/>
      <c r="V39" s="3" t="n"/>
      <c r="W39" s="3" t="n"/>
      <c r="X39" s="2">
        <f>IF(COUNTA(O39:Q39)&lt;3,"",IF(AND(O39=P39,P39=Q39),O39,IF(O39=P39,O39,IF(O39=Q39,O39,IF(P39=Q39,P39,"판정 불능")))))</f>
        <v/>
      </c>
      <c r="Y39" s="2">
        <f>IF(COUNTA(O39:Q39)&lt;3,"",IF(AND(O39=P39,P39=Q39),"3/3",IF(OR(O39=P39,O39=Q39,P39=Q39),"2/3","0/3")))</f>
        <v/>
      </c>
    </row>
    <row r="40">
      <c r="A40" s="2" t="n">
        <v>39</v>
      </c>
      <c r="B40" s="2" t="inlineStr">
        <is>
          <t>W4400611869</t>
        </is>
      </c>
      <c r="C40" s="2" t="inlineStr">
        <is>
          <t>Lynx: An Open Source Hallucination Evaluation Model</t>
        </is>
      </c>
      <c r="D40" s="2" t="inlineStr">
        <is>
          <t>accuracy</t>
        </is>
      </c>
      <c r="E40" s="2" t="n">
        <v>82.2</v>
      </c>
      <c r="F40" s="2" t="inlineStr">
        <is>
          <t>B</t>
        </is>
      </c>
      <c r="G40" s="2" t="n">
        <v>90.78400000000001</v>
      </c>
      <c r="H40" s="2" t="n">
        <v>88.431</v>
      </c>
      <c r="I40" s="2" t="n">
        <v>93.333</v>
      </c>
      <c r="J40" s="2" t="inlineStr">
        <is>
          <t>510</t>
        </is>
      </c>
      <c r="K40" s="2" t="inlineStr">
        <is>
          <t>0</t>
        </is>
      </c>
      <c r="L40" s="2" t="inlineStr">
        <is>
          <t>예</t>
        </is>
      </c>
      <c r="M40" s="2" t="inlineStr">
        <is>
          <t>편차</t>
        </is>
      </c>
      <c r="N40" s="2" t="inlineStr"/>
      <c r="O40" s="3" t="n"/>
      <c r="P40" s="3" t="n"/>
      <c r="Q40" s="3" t="n"/>
      <c r="R40" s="3" t="n"/>
      <c r="S40" s="3" t="n"/>
      <c r="T40" s="3" t="n"/>
      <c r="U40" s="3" t="n"/>
      <c r="V40" s="3" t="n"/>
      <c r="W40" s="3" t="n"/>
      <c r="X40" s="2">
        <f>IF(COUNTA(O40:Q40)&lt;3,"",IF(AND(O40=P40,P40=Q40),O40,IF(O40=P40,O40,IF(O40=Q40,O40,IF(P40=Q40,P40,"판정 불능")))))</f>
        <v/>
      </c>
      <c r="Y40" s="2">
        <f>IF(COUNTA(O40:Q40)&lt;3,"",IF(AND(O40=P40,P40=Q40),"3/3",IF(OR(O40=P40,O40=Q40,P40=Q40),"2/3","0/3")))</f>
        <v/>
      </c>
    </row>
    <row r="41">
      <c r="A41" s="2" t="n">
        <v>40</v>
      </c>
      <c r="B41" s="2" t="inlineStr">
        <is>
          <t>W4400611869</t>
        </is>
      </c>
      <c r="C41" s="2" t="inlineStr">
        <is>
          <t>Lynx: An Open Source Hallucination Evaluation Model</t>
        </is>
      </c>
      <c r="D41" s="2" t="inlineStr">
        <is>
          <t>accuracy</t>
        </is>
      </c>
      <c r="E41" s="2" t="n">
        <v>82.2</v>
      </c>
      <c r="F41" s="2" t="inlineStr">
        <is>
          <t>C</t>
        </is>
      </c>
      <c r="G41" s="2" t="n">
        <v>83.4349593495935</v>
      </c>
      <c r="H41" s="2" t="n">
        <v>79.26829268292683</v>
      </c>
      <c r="I41" s="2" t="n">
        <v>87.19512195121951</v>
      </c>
      <c r="J41" s="2" t="n">
        <v>328</v>
      </c>
      <c r="K41" s="2" t="n">
        <v>0</v>
      </c>
      <c r="L41" s="2" t="inlineStr">
        <is>
          <t>예</t>
        </is>
      </c>
      <c r="M41" s="2" t="inlineStr">
        <is>
          <t>재현</t>
        </is>
      </c>
      <c r="N41" s="2" t="inlineStr"/>
      <c r="O41" s="3" t="n"/>
      <c r="P41" s="3" t="n"/>
      <c r="Q41" s="3" t="n"/>
      <c r="R41" s="3" t="n"/>
      <c r="S41" s="3" t="n"/>
      <c r="T41" s="3" t="n"/>
      <c r="U41" s="3" t="n"/>
      <c r="V41" s="3" t="n"/>
      <c r="W41" s="3" t="n"/>
      <c r="X41" s="2">
        <f>IF(COUNTA(O41:Q41)&lt;3,"",IF(AND(O41=P41,P41=Q41),O41,IF(O41=P41,O41,IF(O41=Q41,O41,IF(P41=Q41,P41,"판정 불능")))))</f>
        <v/>
      </c>
      <c r="Y41" s="2">
        <f>IF(COUNTA(O41:Q41)&lt;3,"",IF(AND(O41=P41,P41=Q41),"3/3",IF(OR(O41=P41,O41=Q41,P41=Q41),"2/3","0/3")))</f>
        <v/>
      </c>
    </row>
    <row r="42">
      <c r="A42" s="2" t="n">
        <v>41</v>
      </c>
      <c r="B42" s="2" t="inlineStr">
        <is>
          <t>W4400611869</t>
        </is>
      </c>
      <c r="C42" s="2" t="inlineStr">
        <is>
          <t>Lynx: An Open Source Hallucination Evaluation Model</t>
        </is>
      </c>
      <c r="D42" s="2" t="inlineStr">
        <is>
          <t>accuracy</t>
        </is>
      </c>
      <c r="E42" s="2" t="n">
        <v>82.2</v>
      </c>
      <c r="F42" s="2" t="inlineStr">
        <is>
          <t>D</t>
        </is>
      </c>
      <c r="G42" s="2" t="n">
        <v>72.324</v>
      </c>
      <c r="H42" s="2" t="n">
        <v>69.297</v>
      </c>
      <c r="I42" s="2" t="n">
        <v>75.24299999999999</v>
      </c>
      <c r="J42" s="2" t="inlineStr">
        <is>
          <t>925</t>
        </is>
      </c>
      <c r="K42" s="2" t="inlineStr">
        <is>
          <t>23</t>
        </is>
      </c>
      <c r="L42" s="2" t="inlineStr">
        <is>
          <t>예</t>
        </is>
      </c>
      <c r="M42" s="2" t="inlineStr">
        <is>
          <t>편차</t>
        </is>
      </c>
      <c r="N42" s="2" t="inlineStr"/>
      <c r="O42" s="3" t="n"/>
      <c r="P42" s="3" t="n"/>
      <c r="Q42" s="3" t="n"/>
      <c r="R42" s="3" t="n"/>
      <c r="S42" s="3" t="n"/>
      <c r="T42" s="3" t="n"/>
      <c r="U42" s="3" t="n"/>
      <c r="V42" s="3" t="n"/>
      <c r="W42" s="3" t="n"/>
      <c r="X42" s="2">
        <f>IF(COUNTA(O42:Q42)&lt;3,"",IF(AND(O42=P42,P42=Q42),O42,IF(O42=P42,O42,IF(O42=Q42,O42,IF(P42=Q42,P42,"판정 불능")))))</f>
        <v/>
      </c>
      <c r="Y42" s="2">
        <f>IF(COUNTA(O42:Q42)&lt;3,"",IF(AND(O42=P42,P42=Q42),"3/3",IF(OR(O42=P42,O42=Q42,P42=Q42),"2/3","0/3")))</f>
        <v/>
      </c>
    </row>
    <row r="43">
      <c r="A43" s="2" t="n">
        <v>42</v>
      </c>
      <c r="B43" s="2" t="inlineStr">
        <is>
          <t>W4400611869</t>
        </is>
      </c>
      <c r="C43" s="2" t="inlineStr">
        <is>
          <t>Lynx: An Open Source Hallucination Evaluation Model</t>
        </is>
      </c>
      <c r="D43" s="2" t="inlineStr">
        <is>
          <t>accuracy</t>
        </is>
      </c>
      <c r="E43" s="2" t="n">
        <v>82.2</v>
      </c>
      <c r="F43" s="2" t="inlineStr">
        <is>
          <t>E</t>
        </is>
      </c>
      <c r="G43" s="2" t="n">
        <v>83.212</v>
      </c>
      <c r="H43" s="2" t="n">
        <v>79.562</v>
      </c>
      <c r="I43" s="2" t="n">
        <v>86.861</v>
      </c>
      <c r="J43" s="2" t="inlineStr">
        <is>
          <t>411</t>
        </is>
      </c>
      <c r="K43" s="2" t="inlineStr">
        <is>
          <t>1</t>
        </is>
      </c>
      <c r="L43" s="2" t="inlineStr">
        <is>
          <t>예</t>
        </is>
      </c>
      <c r="M43" s="2" t="inlineStr">
        <is>
          <t>재현</t>
        </is>
      </c>
      <c r="N43" s="2" t="inlineStr"/>
      <c r="O43" s="3" t="n"/>
      <c r="P43" s="3" t="n"/>
      <c r="Q43" s="3" t="n"/>
      <c r="R43" s="3" t="n"/>
      <c r="S43" s="3" t="n"/>
      <c r="T43" s="3" t="n"/>
      <c r="U43" s="3" t="n"/>
      <c r="V43" s="3" t="n"/>
      <c r="W43" s="3" t="n"/>
      <c r="X43" s="2">
        <f>IF(COUNTA(O43:Q43)&lt;3,"",IF(AND(O43=P43,P43=Q43),O43,IF(O43=P43,O43,IF(O43=Q43,O43,IF(P43=Q43,P43,"판정 불능")))))</f>
        <v/>
      </c>
      <c r="Y43" s="2">
        <f>IF(COUNTA(O43:Q43)&lt;3,"",IF(AND(O43=P43,P43=Q43),"3/3",IF(OR(O43=P43,O43=Q43,P43=Q43),"2/3","0/3")))</f>
        <v/>
      </c>
    </row>
    <row r="44">
      <c r="A44" s="2" t="n">
        <v>43</v>
      </c>
      <c r="B44" s="2" t="inlineStr">
        <is>
          <t>W4401545735</t>
        </is>
      </c>
      <c r="C44" s="2" t="inlineStr">
        <is>
          <t>Designing Heterogeneous LLM Agents for Financial Sen</t>
        </is>
      </c>
      <c r="D44" s="2" t="inlineStr">
        <is>
          <t>accuracy</t>
        </is>
      </c>
      <c r="E44" s="2" t="n">
        <v>74.56999999999999</v>
      </c>
      <c r="F44" s="2" t="inlineStr">
        <is>
          <t>A</t>
        </is>
      </c>
      <c r="G44" s="2" t="n">
        <v>79.63800000000001</v>
      </c>
      <c r="H44" s="2" t="n">
        <v>77.871</v>
      </c>
      <c r="I44" s="2" t="n">
        <v>81.27200000000001</v>
      </c>
      <c r="J44" s="2" t="inlineStr">
        <is>
          <t>2264</t>
        </is>
      </c>
      <c r="K44" s="2" t="inlineStr">
        <is>
          <t>8</t>
        </is>
      </c>
      <c r="L44" s="2" t="inlineStr"/>
      <c r="M44" s="2" t="inlineStr">
        <is>
          <t>편차</t>
        </is>
      </c>
      <c r="N44" s="2" t="inlineStr"/>
      <c r="O44" s="3" t="n"/>
      <c r="P44" s="3" t="n"/>
      <c r="Q44" s="3" t="n"/>
      <c r="R44" s="3" t="n"/>
      <c r="S44" s="3" t="n"/>
      <c r="T44" s="3" t="n"/>
      <c r="U44" s="3" t="n"/>
      <c r="V44" s="3" t="n"/>
      <c r="W44" s="3" t="n"/>
      <c r="X44" s="2">
        <f>IF(COUNTA(O44:Q44)&lt;3,"",IF(AND(O44=P44,P44=Q44),O44,IF(O44=P44,O44,IF(O44=Q44,O44,IF(P44=Q44,P44,"판정 불능")))))</f>
        <v/>
      </c>
      <c r="Y44" s="2">
        <f>IF(COUNTA(O44:Q44)&lt;3,"",IF(AND(O44=P44,P44=Q44),"3/3",IF(OR(O44=P44,O44=Q44,P44=Q44),"2/3","0/3")))</f>
        <v/>
      </c>
    </row>
    <row r="45">
      <c r="A45" s="2" t="n">
        <v>44</v>
      </c>
      <c r="B45" s="2" t="inlineStr">
        <is>
          <t>W4401545735</t>
        </is>
      </c>
      <c r="C45" s="2" t="inlineStr">
        <is>
          <t>Designing Heterogeneous LLM Agents for Financial Sen</t>
        </is>
      </c>
      <c r="D45" s="2" t="inlineStr">
        <is>
          <t>accuracy</t>
        </is>
      </c>
      <c r="E45" s="2" t="n">
        <v>74.56999999999999</v>
      </c>
      <c r="F45" s="2" t="inlineStr">
        <is>
          <t>B</t>
        </is>
      </c>
      <c r="G45" s="2" t="n">
        <v>91.29900000000001</v>
      </c>
      <c r="H45" s="2" t="n">
        <v>90.15000000000001</v>
      </c>
      <c r="I45" s="2" t="n">
        <v>92.447</v>
      </c>
      <c r="J45" s="2" t="inlineStr">
        <is>
          <t>2264</t>
        </is>
      </c>
      <c r="K45" s="2" t="inlineStr">
        <is>
          <t>1</t>
        </is>
      </c>
      <c r="L45" s="2" t="inlineStr"/>
      <c r="M45" s="2" t="inlineStr">
        <is>
          <t>편차</t>
        </is>
      </c>
      <c r="N45" s="2" t="inlineStr"/>
      <c r="O45" s="3" t="n"/>
      <c r="P45" s="3" t="n"/>
      <c r="Q45" s="3" t="n"/>
      <c r="R45" s="3" t="n"/>
      <c r="S45" s="3" t="n"/>
      <c r="T45" s="3" t="n"/>
      <c r="U45" s="3" t="n"/>
      <c r="V45" s="3" t="n"/>
      <c r="W45" s="3" t="n"/>
      <c r="X45" s="2">
        <f>IF(COUNTA(O45:Q45)&lt;3,"",IF(AND(O45=P45,P45=Q45),O45,IF(O45=P45,O45,IF(O45=Q45,O45,IF(P45=Q45,P45,"판정 불능")))))</f>
        <v/>
      </c>
      <c r="Y45" s="2">
        <f>IF(COUNTA(O45:Q45)&lt;3,"",IF(AND(O45=P45,P45=Q45),"3/3",IF(OR(O45=P45,O45=Q45,P45=Q45),"2/3","0/3")))</f>
        <v/>
      </c>
    </row>
    <row r="46">
      <c r="A46" s="2" t="n">
        <v>45</v>
      </c>
      <c r="B46" s="2" t="inlineStr">
        <is>
          <t>W4401545735</t>
        </is>
      </c>
      <c r="C46" s="2" t="inlineStr">
        <is>
          <t>Designing Heterogeneous LLM Agents for Financial Sen</t>
        </is>
      </c>
      <c r="D46" s="2" t="inlineStr">
        <is>
          <t>accuracy</t>
        </is>
      </c>
      <c r="E46" s="2" t="n">
        <v>74.56999999999999</v>
      </c>
      <c r="F46" s="2" t="inlineStr">
        <is>
          <t>C</t>
        </is>
      </c>
      <c r="G46" s="2" t="n">
        <v>91.59305064782096</v>
      </c>
      <c r="H46" s="2" t="n">
        <v>90.50353356890459</v>
      </c>
      <c r="I46" s="2" t="n">
        <v>92.75728798586572</v>
      </c>
      <c r="J46" s="2" t="n">
        <v>2264</v>
      </c>
      <c r="K46" s="2" t="n">
        <v>22</v>
      </c>
      <c r="L46" s="2" t="inlineStr"/>
      <c r="M46" s="2" t="inlineStr">
        <is>
          <t>편차</t>
        </is>
      </c>
      <c r="N46" s="2" t="inlineStr"/>
      <c r="O46" s="3" t="n"/>
      <c r="P46" s="3" t="n"/>
      <c r="Q46" s="3" t="n"/>
      <c r="R46" s="3" t="n"/>
      <c r="S46" s="3" t="n"/>
      <c r="T46" s="3" t="n"/>
      <c r="U46" s="3" t="n"/>
      <c r="V46" s="3" t="n"/>
      <c r="W46" s="3" t="n"/>
      <c r="X46" s="2">
        <f>IF(COUNTA(O46:Q46)&lt;3,"",IF(AND(O46=P46,P46=Q46),O46,IF(O46=P46,O46,IF(O46=Q46,O46,IF(P46=Q46,P46,"판정 불능")))))</f>
        <v/>
      </c>
      <c r="Y46" s="2">
        <f>IF(COUNTA(O46:Q46)&lt;3,"",IF(AND(O46=P46,P46=Q46),"3/3",IF(OR(O46=P46,O46=Q46,P46=Q46),"2/3","0/3")))</f>
        <v/>
      </c>
    </row>
    <row r="47">
      <c r="A47" s="2" t="n">
        <v>46</v>
      </c>
      <c r="B47" s="2" t="inlineStr">
        <is>
          <t>W4401545735</t>
        </is>
      </c>
      <c r="C47" s="2" t="inlineStr">
        <is>
          <t>Designing Heterogeneous LLM Agents for Financial Sen</t>
        </is>
      </c>
      <c r="D47" s="2" t="inlineStr">
        <is>
          <t>accuracy</t>
        </is>
      </c>
      <c r="E47" s="2" t="n">
        <v>74.56999999999999</v>
      </c>
      <c r="F47" s="2" t="inlineStr">
        <is>
          <t>D</t>
        </is>
      </c>
      <c r="G47" s="2" t="n">
        <v>91.41800000000001</v>
      </c>
      <c r="H47" s="2" t="n">
        <v>90.114</v>
      </c>
      <c r="I47" s="2" t="n">
        <v>92.613</v>
      </c>
      <c r="J47" s="2" t="inlineStr">
        <is>
          <t>1841</t>
        </is>
      </c>
      <c r="K47" s="2" t="inlineStr">
        <is>
          <t>0</t>
        </is>
      </c>
      <c r="L47" s="2" t="inlineStr">
        <is>
          <t>예</t>
        </is>
      </c>
      <c r="M47" s="2" t="inlineStr">
        <is>
          <t>편차</t>
        </is>
      </c>
      <c r="N47" s="2" t="inlineStr"/>
      <c r="O47" s="3" t="n"/>
      <c r="P47" s="3" t="n"/>
      <c r="Q47" s="3" t="n"/>
      <c r="R47" s="3" t="n"/>
      <c r="S47" s="3" t="n"/>
      <c r="T47" s="3" t="n"/>
      <c r="U47" s="3" t="n"/>
      <c r="V47" s="3" t="n"/>
      <c r="W47" s="3" t="n"/>
      <c r="X47" s="2">
        <f>IF(COUNTA(O47:Q47)&lt;3,"",IF(AND(O47=P47,P47=Q47),O47,IF(O47=P47,O47,IF(O47=Q47,O47,IF(P47=Q47,P47,"판정 불능")))))</f>
        <v/>
      </c>
      <c r="Y47" s="2">
        <f>IF(COUNTA(O47:Q47)&lt;3,"",IF(AND(O47=P47,P47=Q47),"3/3",IF(OR(O47=P47,O47=Q47,P47=Q47),"2/3","0/3")))</f>
        <v/>
      </c>
    </row>
    <row r="48">
      <c r="A48" s="2" t="n">
        <v>47</v>
      </c>
      <c r="B48" s="2" t="inlineStr">
        <is>
          <t>W4401545735</t>
        </is>
      </c>
      <c r="C48" s="2" t="inlineStr">
        <is>
          <t>Designing Heterogeneous LLM Agents for Financial Sen</t>
        </is>
      </c>
      <c r="D48" s="2" t="inlineStr">
        <is>
          <t>accuracy</t>
        </is>
      </c>
      <c r="E48" s="2" t="n">
        <v>74.56999999999999</v>
      </c>
      <c r="F48" s="2" t="inlineStr">
        <is>
          <t>E</t>
        </is>
      </c>
      <c r="G48" s="2" t="n">
        <v>95.67100000000001</v>
      </c>
      <c r="H48" s="2" t="n">
        <v>94.83199999999999</v>
      </c>
      <c r="I48" s="2" t="n">
        <v>96.511</v>
      </c>
      <c r="J48" s="2" t="inlineStr">
        <is>
          <t>2264</t>
        </is>
      </c>
      <c r="K48" s="2" t="inlineStr">
        <is>
          <t>2</t>
        </is>
      </c>
      <c r="L48" s="2" t="inlineStr"/>
      <c r="M48" s="2" t="inlineStr">
        <is>
          <t>편차</t>
        </is>
      </c>
      <c r="N48" s="2" t="inlineStr"/>
      <c r="O48" s="3" t="n"/>
      <c r="P48" s="3" t="n"/>
      <c r="Q48" s="3" t="n"/>
      <c r="R48" s="3" t="n"/>
      <c r="S48" s="3" t="n"/>
      <c r="T48" s="3" t="n"/>
      <c r="U48" s="3" t="n"/>
      <c r="V48" s="3" t="n"/>
      <c r="W48" s="3" t="n"/>
      <c r="X48" s="2">
        <f>IF(COUNTA(O48:Q48)&lt;3,"",IF(AND(O48=P48,P48=Q48),O48,IF(O48=P48,O48,IF(O48=Q48,O48,IF(P48=Q48,P48,"판정 불능")))))</f>
        <v/>
      </c>
      <c r="Y48" s="2">
        <f>IF(COUNTA(O48:Q48)&lt;3,"",IF(AND(O48=P48,P48=Q48),"3/3",IF(OR(O48=P48,O48=Q48,P48=Q48),"2/3","0/3")))</f>
        <v/>
      </c>
    </row>
    <row r="49">
      <c r="A49" s="2" t="n">
        <v>48</v>
      </c>
      <c r="B49" s="2" t="inlineStr">
        <is>
          <t>W4402345509</t>
        </is>
      </c>
      <c r="C49" s="2" t="inlineStr">
        <is>
          <t>LAB-Bench: Measuring Capabilities of Language Models</t>
        </is>
      </c>
      <c r="D49" s="2" t="inlineStr">
        <is>
          <t>accuracy</t>
        </is>
      </c>
      <c r="E49" s="2" t="n">
        <v>0.12</v>
      </c>
      <c r="F49" s="2" t="inlineStr">
        <is>
          <t>A</t>
        </is>
      </c>
      <c r="G49" s="2" t="n">
        <v>0.538</v>
      </c>
      <c r="H49" s="2" t="n">
        <v>0.455</v>
      </c>
      <c r="I49" s="2" t="n">
        <v>0.615</v>
      </c>
      <c r="J49" s="2" t="inlineStr">
        <is>
          <t>143</t>
        </is>
      </c>
      <c r="K49" s="2" t="inlineStr">
        <is>
          <t>0</t>
        </is>
      </c>
      <c r="L49" s="2" t="inlineStr">
        <is>
          <t>예</t>
        </is>
      </c>
      <c r="M49" s="2" t="inlineStr">
        <is>
          <t>편차</t>
        </is>
      </c>
      <c r="N49" s="2" t="inlineStr"/>
      <c r="O49" s="3" t="n"/>
      <c r="P49" s="3" t="n"/>
      <c r="Q49" s="3" t="n"/>
      <c r="R49" s="3" t="n"/>
      <c r="S49" s="3" t="n"/>
      <c r="T49" s="3" t="n"/>
      <c r="U49" s="3" t="n"/>
      <c r="V49" s="3" t="n"/>
      <c r="W49" s="3" t="n"/>
      <c r="X49" s="2">
        <f>IF(COUNTA(O49:Q49)&lt;3,"",IF(AND(O49=P49,P49=Q49),O49,IF(O49=P49,O49,IF(O49=Q49,O49,IF(P49=Q49,P49,"판정 불능")))))</f>
        <v/>
      </c>
      <c r="Y49" s="2">
        <f>IF(COUNTA(O49:Q49)&lt;3,"",IF(AND(O49=P49,P49=Q49),"3/3",IF(OR(O49=P49,O49=Q49,P49=Q49),"2/3","0/3")))</f>
        <v/>
      </c>
    </row>
    <row r="50">
      <c r="A50" s="2" t="n">
        <v>49</v>
      </c>
      <c r="B50" s="2" t="inlineStr">
        <is>
          <t>W4402345509</t>
        </is>
      </c>
      <c r="C50" s="2" t="inlineStr">
        <is>
          <t>LAB-Bench: Measuring Capabilities of Language Models</t>
        </is>
      </c>
      <c r="D50" s="2" t="inlineStr">
        <is>
          <t>accuracy</t>
        </is>
      </c>
      <c r="E50" s="2" t="n">
        <v>0.12</v>
      </c>
      <c r="F50" s="2" t="inlineStr">
        <is>
          <t>B</t>
        </is>
      </c>
      <c r="G50" s="2" t="n">
        <v>0.1306532663316583</v>
      </c>
      <c r="H50" s="2" t="n">
        <v>0.09045226130653267</v>
      </c>
      <c r="I50" s="2" t="n">
        <v>0.185929648241206</v>
      </c>
      <c r="J50" s="2" t="n">
        <v>199</v>
      </c>
      <c r="K50" s="2" t="n">
        <v>0</v>
      </c>
      <c r="L50" s="2" t="inlineStr"/>
      <c r="M50" s="2" t="inlineStr">
        <is>
          <t>재현</t>
        </is>
      </c>
      <c r="N50" s="2" t="inlineStr"/>
      <c r="O50" s="3" t="n"/>
      <c r="P50" s="3" t="n"/>
      <c r="Q50" s="3" t="n"/>
      <c r="R50" s="3" t="n"/>
      <c r="S50" s="3" t="n"/>
      <c r="T50" s="3" t="n"/>
      <c r="U50" s="3" t="n"/>
      <c r="V50" s="3" t="n"/>
      <c r="W50" s="3" t="n"/>
      <c r="X50" s="2">
        <f>IF(COUNTA(O50:Q50)&lt;3,"",IF(AND(O50=P50,P50=Q50),O50,IF(O50=P50,O50,IF(O50=Q50,O50,IF(P50=Q50,P50,"판정 불능")))))</f>
        <v/>
      </c>
      <c r="Y50" s="2">
        <f>IF(COUNTA(O50:Q50)&lt;3,"",IF(AND(O50=P50,P50=Q50),"3/3",IF(OR(O50=P50,O50=Q50,P50=Q50),"2/3","0/3")))</f>
        <v/>
      </c>
    </row>
    <row r="51">
      <c r="A51" s="2" t="n">
        <v>50</v>
      </c>
      <c r="B51" s="2" t="inlineStr">
        <is>
          <t>W4402345509</t>
        </is>
      </c>
      <c r="C51" s="2" t="inlineStr">
        <is>
          <t>LAB-Bench: Measuring Capabilities of Language Models</t>
        </is>
      </c>
      <c r="D51" s="2" t="inlineStr">
        <is>
          <t>accuracy</t>
        </is>
      </c>
      <c r="E51" s="2" t="n">
        <v>0.12</v>
      </c>
      <c r="F51" s="2" t="inlineStr">
        <is>
          <t>C</t>
        </is>
      </c>
      <c r="G51" s="2" t="n">
        <v>0.492</v>
      </c>
      <c r="H51" s="2" t="n">
        <v>0.422</v>
      </c>
      <c r="I51" s="2" t="n">
        <v>0.5580000000000001</v>
      </c>
      <c r="J51" s="2" t="inlineStr">
        <is>
          <t>199</t>
        </is>
      </c>
      <c r="K51" s="2" t="inlineStr">
        <is>
          <t>2</t>
        </is>
      </c>
      <c r="L51" s="2" t="inlineStr"/>
      <c r="M51" s="2" t="inlineStr">
        <is>
          <t>편차</t>
        </is>
      </c>
      <c r="N51" s="2" t="inlineStr"/>
      <c r="O51" s="3" t="n"/>
      <c r="P51" s="3" t="n"/>
      <c r="Q51" s="3" t="n"/>
      <c r="R51" s="3" t="n"/>
      <c r="S51" s="3" t="n"/>
      <c r="T51" s="3" t="n"/>
      <c r="U51" s="3" t="n"/>
      <c r="V51" s="3" t="n"/>
      <c r="W51" s="3" t="n"/>
      <c r="X51" s="2">
        <f>IF(COUNTA(O51:Q51)&lt;3,"",IF(AND(O51=P51,P51=Q51),O51,IF(O51=P51,O51,IF(O51=Q51,O51,IF(P51=Q51,P51,"판정 불능")))))</f>
        <v/>
      </c>
      <c r="Y51" s="2">
        <f>IF(COUNTA(O51:Q51)&lt;3,"",IF(AND(O51=P51,P51=Q51),"3/3",IF(OR(O51=P51,O51=Q51,P51=Q51),"2/3","0/3")))</f>
        <v/>
      </c>
    </row>
    <row r="52">
      <c r="A52" s="2" t="n">
        <v>51</v>
      </c>
      <c r="B52" s="2" t="inlineStr">
        <is>
          <t>W4402345509</t>
        </is>
      </c>
      <c r="C52" s="2" t="inlineStr">
        <is>
          <t>LAB-Bench: Measuring Capabilities of Language Models</t>
        </is>
      </c>
      <c r="D52" s="2" t="inlineStr">
        <is>
          <t>accuracy</t>
        </is>
      </c>
      <c r="E52" s="2" t="n">
        <v>0.12</v>
      </c>
      <c r="F52" s="2" t="inlineStr">
        <is>
          <t>D</t>
        </is>
      </c>
      <c r="G52" s="2" t="n">
        <v>0.322</v>
      </c>
      <c r="H52" s="2" t="n">
        <v>0.256</v>
      </c>
      <c r="I52" s="2" t="n">
        <v>0.387</v>
      </c>
      <c r="J52" s="2" t="inlineStr">
        <is>
          <t>199</t>
        </is>
      </c>
      <c r="K52" s="2" t="inlineStr">
        <is>
          <t>0</t>
        </is>
      </c>
      <c r="L52" s="2" t="inlineStr"/>
      <c r="M52" s="2" t="inlineStr">
        <is>
          <t>편차</t>
        </is>
      </c>
      <c r="N52" s="2" t="inlineStr"/>
      <c r="O52" s="3" t="n"/>
      <c r="P52" s="3" t="n"/>
      <c r="Q52" s="3" t="n"/>
      <c r="R52" s="3" t="n"/>
      <c r="S52" s="3" t="n"/>
      <c r="T52" s="3" t="n"/>
      <c r="U52" s="3" t="n"/>
      <c r="V52" s="3" t="n"/>
      <c r="W52" s="3" t="n"/>
      <c r="X52" s="2">
        <f>IF(COUNTA(O52:Q52)&lt;3,"",IF(AND(O52=P52,P52=Q52),O52,IF(O52=P52,O52,IF(O52=Q52,O52,IF(P52=Q52,P52,"판정 불능")))))</f>
        <v/>
      </c>
      <c r="Y52" s="2">
        <f>IF(COUNTA(O52:Q52)&lt;3,"",IF(AND(O52=P52,P52=Q52),"3/3",IF(OR(O52=P52,O52=Q52,P52=Q52),"2/3","0/3")))</f>
        <v/>
      </c>
    </row>
    <row r="53">
      <c r="A53" s="2" t="n">
        <v>52</v>
      </c>
      <c r="B53" s="2" t="inlineStr">
        <is>
          <t>W4402345509</t>
        </is>
      </c>
      <c r="C53" s="2" t="inlineStr">
        <is>
          <t>LAB-Bench: Measuring Capabilities of Language Models</t>
        </is>
      </c>
      <c r="D53" s="2" t="inlineStr">
        <is>
          <t>accuracy</t>
        </is>
      </c>
      <c r="E53" s="2" t="n">
        <v>0.12</v>
      </c>
      <c r="F53" s="2" t="inlineStr">
        <is>
          <t>E</t>
        </is>
      </c>
      <c r="G53" s="2" t="n">
        <v>0.392</v>
      </c>
      <c r="H53" s="2" t="n">
        <v>0.322</v>
      </c>
      <c r="I53" s="2" t="n">
        <v>0.462</v>
      </c>
      <c r="J53" s="2" t="inlineStr">
        <is>
          <t>199</t>
        </is>
      </c>
      <c r="K53" s="2" t="inlineStr">
        <is>
          <t>0</t>
        </is>
      </c>
      <c r="L53" s="2" t="inlineStr"/>
      <c r="M53" s="2" t="inlineStr">
        <is>
          <t>편차</t>
        </is>
      </c>
      <c r="N53" s="2" t="inlineStr"/>
      <c r="O53" s="3" t="n"/>
      <c r="P53" s="3" t="n"/>
      <c r="Q53" s="3" t="n"/>
      <c r="R53" s="3" t="n"/>
      <c r="S53" s="3" t="n"/>
      <c r="T53" s="3" t="n"/>
      <c r="U53" s="3" t="n"/>
      <c r="V53" s="3" t="n"/>
      <c r="W53" s="3" t="n"/>
      <c r="X53" s="2">
        <f>IF(COUNTA(O53:Q53)&lt;3,"",IF(AND(O53=P53,P53=Q53),O53,IF(O53=P53,O53,IF(O53=Q53,O53,IF(P53=Q53,P53,"판정 불능")))))</f>
        <v/>
      </c>
      <c r="Y53" s="2">
        <f>IF(COUNTA(O53:Q53)&lt;3,"",IF(AND(O53=P53,P53=Q53),"3/3",IF(OR(O53=P53,O53=Q53,P53=Q53),"2/3","0/3")))</f>
        <v/>
      </c>
    </row>
    <row r="54">
      <c r="A54" s="2" t="n">
        <v>53</v>
      </c>
      <c r="B54" s="2" t="inlineStr">
        <is>
          <t>W4403370432</t>
        </is>
      </c>
      <c r="C54" s="2" t="inlineStr">
        <is>
          <t>An Evaluation of Requirements Modeling for Cyber-Phy</t>
        </is>
      </c>
      <c r="D54" s="2" t="inlineStr">
        <is>
          <t>custom</t>
        </is>
      </c>
      <c r="E54" s="2" t="n">
        <v>48</v>
      </c>
      <c r="F54" s="2" t="inlineStr">
        <is>
          <t>A</t>
        </is>
      </c>
      <c r="G54" s="2" t="n">
        <v>50.793</v>
      </c>
      <c r="H54" s="2" t="n">
        <v>48.796</v>
      </c>
      <c r="I54" s="2" t="n">
        <v>52.917</v>
      </c>
      <c r="J54" s="2" t="inlineStr">
        <is>
          <t>1135</t>
        </is>
      </c>
      <c r="K54" s="2" t="inlineStr">
        <is>
          <t>0</t>
        </is>
      </c>
      <c r="L54" s="2" t="inlineStr">
        <is>
          <t>예</t>
        </is>
      </c>
      <c r="M54" s="2" t="inlineStr">
        <is>
          <t>근접</t>
        </is>
      </c>
      <c r="N54" s="2" t="inlineStr"/>
      <c r="O54" s="3" t="n"/>
      <c r="P54" s="3" t="n"/>
      <c r="Q54" s="3" t="n"/>
      <c r="R54" s="3" t="n"/>
      <c r="S54" s="3" t="n"/>
      <c r="T54" s="3" t="n"/>
      <c r="U54" s="3" t="n"/>
      <c r="V54" s="3" t="n"/>
      <c r="W54" s="3" t="n"/>
      <c r="X54" s="2">
        <f>IF(COUNTA(O54:Q54)&lt;3,"",IF(AND(O54=P54,P54=Q54),O54,IF(O54=P54,O54,IF(O54=Q54,O54,IF(P54=Q54,P54,"판정 불능")))))</f>
        <v/>
      </c>
      <c r="Y54" s="2">
        <f>IF(COUNTA(O54:Q54)&lt;3,"",IF(AND(O54=P54,P54=Q54),"3/3",IF(OR(O54=P54,O54=Q54,P54=Q54),"2/3","0/3")))</f>
        <v/>
      </c>
    </row>
    <row r="55">
      <c r="A55" s="2" t="n">
        <v>54</v>
      </c>
      <c r="B55" s="2" t="inlineStr">
        <is>
          <t>W4403370432</t>
        </is>
      </c>
      <c r="C55" s="2" t="inlineStr">
        <is>
          <t>An Evaluation of Requirements Modeling for Cyber-Phy</t>
        </is>
      </c>
      <c r="D55" s="2" t="inlineStr">
        <is>
          <t>custom</t>
        </is>
      </c>
      <c r="E55" s="2" t="n">
        <v>48</v>
      </c>
      <c r="F55" s="2" t="inlineStr">
        <is>
          <t>B</t>
        </is>
      </c>
      <c r="G55" s="2" t="n">
        <v>47.45</v>
      </c>
      <c r="H55" s="2" t="n">
        <v>45.507</v>
      </c>
      <c r="I55" s="2" t="n">
        <v>49.421</v>
      </c>
      <c r="J55" s="2" t="inlineStr">
        <is>
          <t>1391</t>
        </is>
      </c>
      <c r="K55" s="2" t="inlineStr">
        <is>
          <t>0</t>
        </is>
      </c>
      <c r="L55" s="2" t="inlineStr"/>
      <c r="M55" s="2" t="inlineStr">
        <is>
          <t>재현</t>
        </is>
      </c>
      <c r="N55" s="2" t="inlineStr"/>
      <c r="O55" s="3" t="n"/>
      <c r="P55" s="3" t="n"/>
      <c r="Q55" s="3" t="n"/>
      <c r="R55" s="3" t="n"/>
      <c r="S55" s="3" t="n"/>
      <c r="T55" s="3" t="n"/>
      <c r="U55" s="3" t="n"/>
      <c r="V55" s="3" t="n"/>
      <c r="W55" s="3" t="n"/>
      <c r="X55" s="2">
        <f>IF(COUNTA(O55:Q55)&lt;3,"",IF(AND(O55=P55,P55=Q55),O55,IF(O55=P55,O55,IF(O55=Q55,O55,IF(P55=Q55,P55,"판정 불능")))))</f>
        <v/>
      </c>
      <c r="Y55" s="2">
        <f>IF(COUNTA(O55:Q55)&lt;3,"",IF(AND(O55=P55,P55=Q55),"3/3",IF(OR(O55=P55,O55=Q55,P55=Q55),"2/3","0/3")))</f>
        <v/>
      </c>
    </row>
    <row r="56">
      <c r="A56" s="2" t="n">
        <v>55</v>
      </c>
      <c r="B56" s="2" t="inlineStr">
        <is>
          <t>W4403370432</t>
        </is>
      </c>
      <c r="C56" s="2" t="inlineStr">
        <is>
          <t>An Evaluation of Requirements Modeling for Cyber-Phy</t>
        </is>
      </c>
      <c r="D56" s="2" t="inlineStr">
        <is>
          <t>custom</t>
        </is>
      </c>
      <c r="E56" s="2" t="n">
        <v>48</v>
      </c>
      <c r="F56" s="2" t="inlineStr">
        <is>
          <t>C</t>
        </is>
      </c>
      <c r="G56" s="2" t="n">
        <v>48.58839150700392</v>
      </c>
      <c r="H56" s="2" t="n">
        <v>46.42007428084476</v>
      </c>
      <c r="I56" s="2" t="n">
        <v>50.40165871404314</v>
      </c>
      <c r="J56" s="2" t="n">
        <v>1383</v>
      </c>
      <c r="K56" s="2" t="n">
        <v>0</v>
      </c>
      <c r="L56" s="2" t="inlineStr">
        <is>
          <t>예</t>
        </is>
      </c>
      <c r="M56" s="2" t="inlineStr">
        <is>
          <t>재현</t>
        </is>
      </c>
      <c r="N56" s="2" t="inlineStr"/>
      <c r="O56" s="3" t="n"/>
      <c r="P56" s="3" t="n"/>
      <c r="Q56" s="3" t="n"/>
      <c r="R56" s="3" t="n"/>
      <c r="S56" s="3" t="n"/>
      <c r="T56" s="3" t="n"/>
      <c r="U56" s="3" t="n"/>
      <c r="V56" s="3" t="n"/>
      <c r="W56" s="3" t="n"/>
      <c r="X56" s="2">
        <f>IF(COUNTA(O56:Q56)&lt;3,"",IF(AND(O56=P56,P56=Q56),O56,IF(O56=P56,O56,IF(O56=Q56,O56,IF(P56=Q56,P56,"판정 불능")))))</f>
        <v/>
      </c>
      <c r="Y56" s="2">
        <f>IF(COUNTA(O56:Q56)&lt;3,"",IF(AND(O56=P56,P56=Q56),"3/3",IF(OR(O56=P56,O56=Q56,P56=Q56),"2/3","0/3")))</f>
        <v/>
      </c>
    </row>
    <row r="57">
      <c r="A57" s="2" t="n">
        <v>56</v>
      </c>
      <c r="B57" s="2" t="inlineStr">
        <is>
          <t>W4403370432</t>
        </is>
      </c>
      <c r="C57" s="2" t="inlineStr">
        <is>
          <t>An Evaluation of Requirements Modeling for Cyber-Phy</t>
        </is>
      </c>
      <c r="D57" s="2" t="inlineStr">
        <is>
          <t>custom</t>
        </is>
      </c>
      <c r="E57" s="2" t="n">
        <v>48</v>
      </c>
      <c r="F57" s="2" t="inlineStr">
        <is>
          <t>D</t>
        </is>
      </c>
      <c r="G57" s="2" t="n">
        <v>50.468</v>
      </c>
      <c r="H57" s="2" t="n">
        <v>48.354</v>
      </c>
      <c r="I57" s="2" t="n">
        <v>52.478</v>
      </c>
      <c r="J57" s="2" t="inlineStr">
        <is>
          <t>1391</t>
        </is>
      </c>
      <c r="K57" s="2" t="inlineStr">
        <is>
          <t>1</t>
        </is>
      </c>
      <c r="L57" s="2" t="inlineStr"/>
      <c r="M57" s="2" t="inlineStr">
        <is>
          <t>근접</t>
        </is>
      </c>
      <c r="N57" s="2" t="inlineStr"/>
      <c r="O57" s="3" t="n"/>
      <c r="P57" s="3" t="n"/>
      <c r="Q57" s="3" t="n"/>
      <c r="R57" s="3" t="n"/>
      <c r="S57" s="3" t="n"/>
      <c r="T57" s="3" t="n"/>
      <c r="U57" s="3" t="n"/>
      <c r="V57" s="3" t="n"/>
      <c r="W57" s="3" t="n"/>
      <c r="X57" s="2">
        <f>IF(COUNTA(O57:Q57)&lt;3,"",IF(AND(O57=P57,P57=Q57),O57,IF(O57=P57,O57,IF(O57=Q57,O57,IF(P57=Q57,P57,"판정 불능")))))</f>
        <v/>
      </c>
      <c r="Y57" s="2">
        <f>IF(COUNTA(O57:Q57)&lt;3,"",IF(AND(O57=P57,P57=Q57),"3/3",IF(OR(O57=P57,O57=Q57,P57=Q57),"2/3","0/3")))</f>
        <v/>
      </c>
    </row>
    <row r="58">
      <c r="A58" s="2" t="n">
        <v>57</v>
      </c>
      <c r="B58" s="2" t="inlineStr">
        <is>
          <t>W4403370432</t>
        </is>
      </c>
      <c r="C58" s="2" t="inlineStr">
        <is>
          <t>An Evaluation of Requirements Modeling for Cyber-Phy</t>
        </is>
      </c>
      <c r="D58" s="2" t="inlineStr">
        <is>
          <t>custom</t>
        </is>
      </c>
      <c r="E58" s="2" t="n">
        <v>48</v>
      </c>
      <c r="F58" s="2" t="inlineStr">
        <is>
          <t>E</t>
        </is>
      </c>
      <c r="G58" s="2" t="n">
        <v>47.736</v>
      </c>
      <c r="H58" s="2" t="n">
        <v>45.725</v>
      </c>
      <c r="I58" s="2" t="n">
        <v>49.896</v>
      </c>
      <c r="J58" s="2" t="inlineStr">
        <is>
          <t>1391</t>
        </is>
      </c>
      <c r="K58" s="2" t="inlineStr">
        <is>
          <t>0</t>
        </is>
      </c>
      <c r="L58" s="2" t="inlineStr"/>
      <c r="M58" s="2" t="inlineStr">
        <is>
          <t>재현</t>
        </is>
      </c>
      <c r="N58" s="2" t="inlineStr"/>
      <c r="O58" s="3" t="n"/>
      <c r="P58" s="3" t="n"/>
      <c r="Q58" s="3" t="n"/>
      <c r="R58" s="3" t="n"/>
      <c r="S58" s="3" t="n"/>
      <c r="T58" s="3" t="n"/>
      <c r="U58" s="3" t="n"/>
      <c r="V58" s="3" t="n"/>
      <c r="W58" s="3" t="n"/>
      <c r="X58" s="2">
        <f>IF(COUNTA(O58:Q58)&lt;3,"",IF(AND(O58=P58,P58=Q58),O58,IF(O58=P58,O58,IF(O58=Q58,O58,IF(P58=Q58,P58,"판정 불능")))))</f>
        <v/>
      </c>
      <c r="Y58" s="2">
        <f>IF(COUNTA(O58:Q58)&lt;3,"",IF(AND(O58=P58,P58=Q58),"3/3",IF(OR(O58=P58,O58=Q58,P58=Q58),"2/3","0/3")))</f>
        <v/>
      </c>
    </row>
    <row r="59">
      <c r="A59" s="2" t="n">
        <v>58</v>
      </c>
      <c r="B59" s="2" t="inlineStr">
        <is>
          <t>W4403443823</t>
        </is>
      </c>
      <c r="C59" s="2" t="inlineStr">
        <is>
          <t xml:space="preserve">Science is Exploration: Computational Frontiers for </t>
        </is>
      </c>
      <c r="D59" s="2" t="inlineStr">
        <is>
          <t>custom</t>
        </is>
      </c>
      <c r="E59" s="2" t="n">
        <v>74.8</v>
      </c>
      <c r="F59" s="2" t="inlineStr">
        <is>
          <t>A</t>
        </is>
      </c>
      <c r="G59" s="2" t="n">
        <v>71.48245944926443</v>
      </c>
      <c r="H59" s="2" t="n">
        <v>69.85913539293345</v>
      </c>
      <c r="I59" s="2" t="n">
        <v>73.19239186963682</v>
      </c>
      <c r="J59" s="2" t="n">
        <v>3737</v>
      </c>
      <c r="K59" s="2" t="n">
        <v>0</v>
      </c>
      <c r="L59" s="2" t="inlineStr"/>
      <c r="M59" s="2" t="inlineStr">
        <is>
          <t>근접</t>
        </is>
      </c>
      <c r="N59" s="2" t="inlineStr"/>
      <c r="O59" s="3" t="n"/>
      <c r="P59" s="3" t="n"/>
      <c r="Q59" s="3" t="n"/>
      <c r="R59" s="3" t="n"/>
      <c r="S59" s="3" t="n"/>
      <c r="T59" s="3" t="n"/>
      <c r="U59" s="3" t="n"/>
      <c r="V59" s="3" t="n"/>
      <c r="W59" s="3" t="n"/>
      <c r="X59" s="2">
        <f>IF(COUNTA(O59:Q59)&lt;3,"",IF(AND(O59=P59,P59=Q59),O59,IF(O59=P59,O59,IF(O59=Q59,O59,IF(P59=Q59,P59,"판정 불능")))))</f>
        <v/>
      </c>
      <c r="Y59" s="2">
        <f>IF(COUNTA(O59:Q59)&lt;3,"",IF(AND(O59=P59,P59=Q59),"3/3",IF(OR(O59=P59,O59=Q59,P59=Q59),"2/3","0/3")))</f>
        <v/>
      </c>
    </row>
    <row r="60">
      <c r="A60" s="2" t="n">
        <v>59</v>
      </c>
      <c r="B60" s="2" t="inlineStr">
        <is>
          <t>W4403556032</t>
        </is>
      </c>
      <c r="C60" s="2" t="inlineStr">
        <is>
          <t>Enhancing Healthcare LLM Trust with Atypical Present</t>
        </is>
      </c>
      <c r="D60" s="2" t="inlineStr">
        <is>
          <t>accuracy</t>
        </is>
      </c>
      <c r="E60" s="2" t="n">
        <v>0.751</v>
      </c>
      <c r="F60" s="2" t="inlineStr">
        <is>
          <t>A</t>
        </is>
      </c>
      <c r="G60" s="2" t="n">
        <v>0.423</v>
      </c>
      <c r="H60" s="2" t="n">
        <v>0.395</v>
      </c>
      <c r="I60" s="2" t="n">
        <v>0.45</v>
      </c>
      <c r="J60" s="2" t="inlineStr">
        <is>
          <t>1272</t>
        </is>
      </c>
      <c r="K60" s="2" t="inlineStr">
        <is>
          <t>704</t>
        </is>
      </c>
      <c r="L60" s="2" t="inlineStr"/>
      <c r="M60" s="2" t="inlineStr">
        <is>
          <t>확인 필요</t>
        </is>
      </c>
      <c r="N60" s="2" t="inlineStr"/>
      <c r="O60" s="3" t="n"/>
      <c r="P60" s="3" t="n"/>
      <c r="Q60" s="3" t="n"/>
      <c r="R60" s="3" t="n"/>
      <c r="S60" s="3" t="n"/>
      <c r="T60" s="3" t="n"/>
      <c r="U60" s="3" t="n"/>
      <c r="V60" s="3" t="n"/>
      <c r="W60" s="3" t="n"/>
      <c r="X60" s="2">
        <f>IF(COUNTA(O60:Q60)&lt;3,"",IF(AND(O60=P60,P60=Q60),O60,IF(O60=P60,O60,IF(O60=Q60,O60,IF(P60=Q60,P60,"판정 불능")))))</f>
        <v/>
      </c>
      <c r="Y60" s="2">
        <f>IF(COUNTA(O60:Q60)&lt;3,"",IF(AND(O60=P60,P60=Q60),"3/3",IF(OR(O60=P60,O60=Q60,P60=Q60),"2/3","0/3")))</f>
        <v/>
      </c>
    </row>
    <row r="61">
      <c r="A61" s="2" t="n">
        <v>60</v>
      </c>
      <c r="B61" s="2" t="inlineStr">
        <is>
          <t>W4403556032</t>
        </is>
      </c>
      <c r="C61" s="2" t="inlineStr">
        <is>
          <t>Enhancing Healthcare LLM Trust with Atypical Present</t>
        </is>
      </c>
      <c r="D61" s="2" t="inlineStr">
        <is>
          <t>accuracy</t>
        </is>
      </c>
      <c r="E61" s="2" t="n">
        <v>0.751</v>
      </c>
      <c r="F61" s="2" t="inlineStr">
        <is>
          <t>B</t>
        </is>
      </c>
      <c r="G61" s="2" t="n">
        <v>0.8110587002096435</v>
      </c>
      <c r="H61" s="2" t="n">
        <v>0.7948113207547169</v>
      </c>
      <c r="I61" s="2" t="n">
        <v>0.8364779874213837</v>
      </c>
      <c r="J61" s="2" t="n">
        <v>1272</v>
      </c>
      <c r="K61" s="2" t="n">
        <v>32</v>
      </c>
      <c r="L61" s="2" t="inlineStr"/>
      <c r="M61" s="2" t="inlineStr">
        <is>
          <t>편차</t>
        </is>
      </c>
      <c r="N61" s="2" t="inlineStr"/>
      <c r="O61" s="3" t="n"/>
      <c r="P61" s="3" t="n"/>
      <c r="Q61" s="3" t="n"/>
      <c r="R61" s="3" t="n"/>
      <c r="S61" s="3" t="n"/>
      <c r="T61" s="3" t="n"/>
      <c r="U61" s="3" t="n"/>
      <c r="V61" s="3" t="n"/>
      <c r="W61" s="3" t="n"/>
      <c r="X61" s="2">
        <f>IF(COUNTA(O61:Q61)&lt;3,"",IF(AND(O61=P61,P61=Q61),O61,IF(O61=P61,O61,IF(O61=Q61,O61,IF(P61=Q61,P61,"판정 불능")))))</f>
        <v/>
      </c>
      <c r="Y61" s="2">
        <f>IF(COUNTA(O61:Q61)&lt;3,"",IF(AND(O61=P61,P61=Q61),"3/3",IF(OR(O61=P61,O61=Q61,P61=Q61),"2/3","0/3")))</f>
        <v/>
      </c>
    </row>
    <row r="62">
      <c r="A62" s="2" t="n">
        <v>61</v>
      </c>
      <c r="B62" s="2" t="inlineStr">
        <is>
          <t>W4403556032</t>
        </is>
      </c>
      <c r="C62" s="2" t="inlineStr">
        <is>
          <t>Enhancing Healthcare LLM Trust with Atypical Present</t>
        </is>
      </c>
      <c r="D62" s="2" t="inlineStr">
        <is>
          <t>accuracy</t>
        </is>
      </c>
      <c r="E62" s="2" t="n">
        <v>0.751</v>
      </c>
      <c r="F62" s="2" t="inlineStr">
        <is>
          <t>C</t>
        </is>
      </c>
      <c r="G62" s="2" t="n">
        <v>0.949</v>
      </c>
      <c r="H62" s="2" t="n">
        <v>0.9360000000000001</v>
      </c>
      <c r="I62" s="2" t="n">
        <v>0.961</v>
      </c>
      <c r="J62" s="2" t="inlineStr">
        <is>
          <t>1272</t>
        </is>
      </c>
      <c r="K62" s="2" t="inlineStr">
        <is>
          <t>24</t>
        </is>
      </c>
      <c r="L62" s="2" t="inlineStr"/>
      <c r="M62" s="2" t="inlineStr">
        <is>
          <t>편차</t>
        </is>
      </c>
      <c r="N62" s="2" t="inlineStr"/>
      <c r="O62" s="3" t="n"/>
      <c r="P62" s="3" t="n"/>
      <c r="Q62" s="3" t="n"/>
      <c r="R62" s="3" t="n"/>
      <c r="S62" s="3" t="n"/>
      <c r="T62" s="3" t="n"/>
      <c r="U62" s="3" t="n"/>
      <c r="V62" s="3" t="n"/>
      <c r="W62" s="3" t="n"/>
      <c r="X62" s="2">
        <f>IF(COUNTA(O62:Q62)&lt;3,"",IF(AND(O62=P62,P62=Q62),O62,IF(O62=P62,O62,IF(O62=Q62,O62,IF(P62=Q62,P62,"판정 불능")))))</f>
        <v/>
      </c>
      <c r="Y62" s="2">
        <f>IF(COUNTA(O62:Q62)&lt;3,"",IF(AND(O62=P62,P62=Q62),"3/3",IF(OR(O62=P62,O62=Q62,P62=Q62),"2/3","0/3")))</f>
        <v/>
      </c>
    </row>
    <row r="63">
      <c r="A63" s="2" t="n">
        <v>62</v>
      </c>
      <c r="B63" s="2" t="inlineStr">
        <is>
          <t>W4403556032</t>
        </is>
      </c>
      <c r="C63" s="2" t="inlineStr">
        <is>
          <t>Enhancing Healthcare LLM Trust with Atypical Present</t>
        </is>
      </c>
      <c r="D63" s="2" t="inlineStr">
        <is>
          <t>accuracy</t>
        </is>
      </c>
      <c r="E63" s="2" t="n">
        <v>0.751</v>
      </c>
      <c r="F63" s="2" t="inlineStr">
        <is>
          <t>D</t>
        </is>
      </c>
      <c r="G63" s="2" t="n">
        <v>0.35</v>
      </c>
      <c r="H63" s="2" t="n">
        <v>0.324</v>
      </c>
      <c r="I63" s="2" t="n">
        <v>0.377</v>
      </c>
      <c r="J63" s="2" t="inlineStr">
        <is>
          <t>1213</t>
        </is>
      </c>
      <c r="K63" s="2" t="inlineStr">
        <is>
          <t>774</t>
        </is>
      </c>
      <c r="L63" s="2" t="inlineStr">
        <is>
          <t>예</t>
        </is>
      </c>
      <c r="M63" s="2" t="inlineStr">
        <is>
          <t>확인 필요</t>
        </is>
      </c>
      <c r="N63" s="2" t="inlineStr"/>
      <c r="O63" s="3" t="n"/>
      <c r="P63" s="3" t="n"/>
      <c r="Q63" s="3" t="n"/>
      <c r="R63" s="3" t="n"/>
      <c r="S63" s="3" t="n"/>
      <c r="T63" s="3" t="n"/>
      <c r="U63" s="3" t="n"/>
      <c r="V63" s="3" t="n"/>
      <c r="W63" s="3" t="n"/>
      <c r="X63" s="2">
        <f>IF(COUNTA(O63:Q63)&lt;3,"",IF(AND(O63=P63,P63=Q63),O63,IF(O63=P63,O63,IF(O63=Q63,O63,IF(P63=Q63,P63,"판정 불능")))))</f>
        <v/>
      </c>
      <c r="Y63" s="2">
        <f>IF(COUNTA(O63:Q63)&lt;3,"",IF(AND(O63=P63,P63=Q63),"3/3",IF(OR(O63=P63,O63=Q63,P63=Q63),"2/3","0/3")))</f>
        <v/>
      </c>
    </row>
    <row r="64">
      <c r="A64" s="2" t="n">
        <v>63</v>
      </c>
      <c r="B64" s="2" t="inlineStr">
        <is>
          <t>W4403570177</t>
        </is>
      </c>
      <c r="C64" s="2" t="inlineStr">
        <is>
          <t>RMB: Comprehensively Benchmarking Reward Models in L</t>
        </is>
      </c>
      <c r="D64" s="2" t="inlineStr">
        <is>
          <t>accuracy</t>
        </is>
      </c>
      <c r="E64" s="2" t="n">
        <v>0.8149999999999999</v>
      </c>
      <c r="F64" s="2" t="inlineStr">
        <is>
          <t>A</t>
        </is>
      </c>
      <c r="G64" s="2" t="n">
        <v>0.7919036467045835</v>
      </c>
      <c r="H64" s="2" t="n">
        <v>0.7775175644028103</v>
      </c>
      <c r="I64" s="2" t="n">
        <v>0.8066242890598863</v>
      </c>
      <c r="J64" s="2" t="n">
        <v>2989</v>
      </c>
      <c r="K64" s="2" t="n">
        <v>0</v>
      </c>
      <c r="L64" s="2" t="inlineStr">
        <is>
          <t>예</t>
        </is>
      </c>
      <c r="M64" s="2" t="inlineStr">
        <is>
          <t>근접</t>
        </is>
      </c>
      <c r="N64" s="2" t="inlineStr"/>
      <c r="O64" s="3" t="n"/>
      <c r="P64" s="3" t="n"/>
      <c r="Q64" s="3" t="n"/>
      <c r="R64" s="3" t="n"/>
      <c r="S64" s="3" t="n"/>
      <c r="T64" s="3" t="n"/>
      <c r="U64" s="3" t="n"/>
      <c r="V64" s="3" t="n"/>
      <c r="W64" s="3" t="n"/>
      <c r="X64" s="2">
        <f>IF(COUNTA(O64:Q64)&lt;3,"",IF(AND(O64=P64,P64=Q64),O64,IF(O64=P64,O64,IF(O64=Q64,O64,IF(P64=Q64,P64,"판정 불능")))))</f>
        <v/>
      </c>
      <c r="Y64" s="2">
        <f>IF(COUNTA(O64:Q64)&lt;3,"",IF(AND(O64=P64,P64=Q64),"3/3",IF(OR(O64=P64,O64=Q64,P64=Q64),"2/3","0/3")))</f>
        <v/>
      </c>
    </row>
    <row r="65">
      <c r="A65" s="2" t="n">
        <v>64</v>
      </c>
      <c r="B65" s="2" t="inlineStr">
        <is>
          <t>W4403574994</t>
        </is>
      </c>
      <c r="C65" s="2" t="inlineStr">
        <is>
          <t>Measuring Spiritual Values and Bias of Large Languag</t>
        </is>
      </c>
      <c r="D65" s="2" t="inlineStr">
        <is>
          <t>custom</t>
        </is>
      </c>
      <c r="E65" s="2" t="n">
        <v>52.97</v>
      </c>
      <c r="F65" s="2" t="inlineStr">
        <is>
          <t>A</t>
        </is>
      </c>
      <c r="G65" s="2" t="n">
        <v>52.542</v>
      </c>
      <c r="H65" s="2" t="n">
        <v>38.151</v>
      </c>
      <c r="I65" s="2" t="n">
        <v>68.988</v>
      </c>
      <c r="J65" s="2" t="inlineStr">
        <is>
          <t>133</t>
        </is>
      </c>
      <c r="K65" s="2" t="inlineStr">
        <is>
          <t>0</t>
        </is>
      </c>
      <c r="L65" s="2" t="inlineStr"/>
      <c r="M65" s="2" t="inlineStr">
        <is>
          <t>재현</t>
        </is>
      </c>
      <c r="N65" s="2" t="inlineStr"/>
      <c r="O65" s="3" t="n"/>
      <c r="P65" s="3" t="n"/>
      <c r="Q65" s="3" t="n"/>
      <c r="R65" s="3" t="n"/>
      <c r="S65" s="3" t="n"/>
      <c r="T65" s="3" t="n"/>
      <c r="U65" s="3" t="n"/>
      <c r="V65" s="3" t="n"/>
      <c r="W65" s="3" t="n"/>
      <c r="X65" s="2">
        <f>IF(COUNTA(O65:Q65)&lt;3,"",IF(AND(O65=P65,P65=Q65),O65,IF(O65=P65,O65,IF(O65=Q65,O65,IF(P65=Q65,P65,"판정 불능")))))</f>
        <v/>
      </c>
      <c r="Y65" s="2">
        <f>IF(COUNTA(O65:Q65)&lt;3,"",IF(AND(O65=P65,P65=Q65),"3/3",IF(OR(O65=P65,O65=Q65,P65=Q65),"2/3","0/3")))</f>
        <v/>
      </c>
    </row>
    <row r="66">
      <c r="A66" s="2" t="n">
        <v>65</v>
      </c>
      <c r="B66" s="2" t="inlineStr">
        <is>
          <t>W4403574994</t>
        </is>
      </c>
      <c r="C66" s="2" t="inlineStr">
        <is>
          <t>Measuring Spiritual Values and Bias of Large Languag</t>
        </is>
      </c>
      <c r="D66" s="2" t="inlineStr">
        <is>
          <t>custom</t>
        </is>
      </c>
      <c r="E66" s="2" t="n">
        <v>52.97</v>
      </c>
      <c r="F66" s="2" t="inlineStr">
        <is>
          <t>B</t>
        </is>
      </c>
      <c r="G66" s="2" t="n">
        <v>50.212</v>
      </c>
      <c r="H66" s="2" t="n">
        <v>50</v>
      </c>
      <c r="I66" s="2" t="n">
        <v>50.774</v>
      </c>
      <c r="J66" s="2" t="inlineStr">
        <is>
          <t>133</t>
        </is>
      </c>
      <c r="K66" s="2" t="inlineStr">
        <is>
          <t>2</t>
        </is>
      </c>
      <c r="L66" s="2" t="inlineStr"/>
      <c r="M66" s="2" t="inlineStr">
        <is>
          <t>근접</t>
        </is>
      </c>
      <c r="N66" s="2" t="inlineStr"/>
      <c r="O66" s="3" t="n"/>
      <c r="P66" s="3" t="n"/>
      <c r="Q66" s="3" t="n"/>
      <c r="R66" s="3" t="n"/>
      <c r="S66" s="3" t="n"/>
      <c r="T66" s="3" t="n"/>
      <c r="U66" s="3" t="n"/>
      <c r="V66" s="3" t="n"/>
      <c r="W66" s="3" t="n"/>
      <c r="X66" s="2">
        <f>IF(COUNTA(O66:Q66)&lt;3,"",IF(AND(O66=P66,P66=Q66),O66,IF(O66=P66,O66,IF(O66=Q66,O66,IF(P66=Q66,P66,"판정 불능")))))</f>
        <v/>
      </c>
      <c r="Y66" s="2">
        <f>IF(COUNTA(O66:Q66)&lt;3,"",IF(AND(O66=P66,P66=Q66),"3/3",IF(OR(O66=P66,O66=Q66,P66=Q66),"2/3","0/3")))</f>
        <v/>
      </c>
    </row>
    <row r="67">
      <c r="A67" s="2" t="n">
        <v>66</v>
      </c>
      <c r="B67" s="2" t="inlineStr">
        <is>
          <t>W4403574994</t>
        </is>
      </c>
      <c r="C67" s="2" t="inlineStr">
        <is>
          <t>Measuring Spiritual Values and Bias of Large Languag</t>
        </is>
      </c>
      <c r="D67" s="2" t="inlineStr">
        <is>
          <t>custom</t>
        </is>
      </c>
      <c r="E67" s="2" t="n">
        <v>52.97</v>
      </c>
      <c r="F67" s="2" t="inlineStr">
        <is>
          <t>C</t>
        </is>
      </c>
      <c r="G67" s="2" t="n">
        <v>57.301</v>
      </c>
      <c r="H67" s="2" t="n">
        <v>32.731</v>
      </c>
      <c r="I67" s="2" t="n">
        <v>76.63800000000001</v>
      </c>
      <c r="J67" s="2" t="inlineStr">
        <is>
          <t>133</t>
        </is>
      </c>
      <c r="K67" s="2" t="inlineStr">
        <is>
          <t>0</t>
        </is>
      </c>
      <c r="L67" s="2" t="inlineStr"/>
      <c r="M67" s="2" t="inlineStr">
        <is>
          <t>재현</t>
        </is>
      </c>
      <c r="N67" s="2" t="inlineStr"/>
      <c r="O67" s="3" t="n"/>
      <c r="P67" s="3" t="n"/>
      <c r="Q67" s="3" t="n"/>
      <c r="R67" s="3" t="n"/>
      <c r="S67" s="3" t="n"/>
      <c r="T67" s="3" t="n"/>
      <c r="U67" s="3" t="n"/>
      <c r="V67" s="3" t="n"/>
      <c r="W67" s="3" t="n"/>
      <c r="X67" s="2">
        <f>IF(COUNTA(O67:Q67)&lt;3,"",IF(AND(O67=P67,P67=Q67),O67,IF(O67=P67,O67,IF(O67=Q67,O67,IF(P67=Q67,P67,"판정 불능")))))</f>
        <v/>
      </c>
      <c r="Y67" s="2">
        <f>IF(COUNTA(O67:Q67)&lt;3,"",IF(AND(O67=P67,P67=Q67),"3/3",IF(OR(O67=P67,O67=Q67,P67=Q67),"2/3","0/3")))</f>
        <v/>
      </c>
    </row>
    <row r="68">
      <c r="A68" s="2" t="n">
        <v>67</v>
      </c>
      <c r="B68" s="2" t="inlineStr">
        <is>
          <t>W4403574994</t>
        </is>
      </c>
      <c r="C68" s="2" t="inlineStr">
        <is>
          <t>Measuring Spiritual Values and Bias of Large Languag</t>
        </is>
      </c>
      <c r="D68" s="2" t="inlineStr">
        <is>
          <t>custom</t>
        </is>
      </c>
      <c r="E68" s="2" t="n">
        <v>52.97</v>
      </c>
      <c r="F68" s="2" t="inlineStr">
        <is>
          <t>D</t>
        </is>
      </c>
      <c r="G68" s="2" t="n">
        <v>46.26831158442079</v>
      </c>
      <c r="H68" s="2" t="n">
        <v>33.70483781621223</v>
      </c>
      <c r="I68" s="2" t="n">
        <v>64.8816072709878</v>
      </c>
      <c r="J68" s="2" t="n">
        <v>133</v>
      </c>
      <c r="K68" s="2" t="n">
        <v>2</v>
      </c>
      <c r="L68" s="2" t="inlineStr"/>
      <c r="M68" s="2" t="inlineStr">
        <is>
          <t>재현</t>
        </is>
      </c>
      <c r="N68" s="2" t="inlineStr">
        <is>
          <t>예</t>
        </is>
      </c>
      <c r="O68" s="3" t="n"/>
      <c r="P68" s="3" t="n"/>
      <c r="Q68" s="3" t="n"/>
      <c r="R68" s="3" t="n"/>
      <c r="S68" s="3" t="n"/>
      <c r="T68" s="3" t="n"/>
      <c r="U68" s="3" t="n"/>
      <c r="V68" s="3" t="n"/>
      <c r="W68" s="3" t="n"/>
      <c r="X68" s="2">
        <f>IF(COUNTA(O68:Q68)&lt;3,"",IF(AND(O68=P68,P68=Q68),O68,IF(O68=P68,O68,IF(O68=Q68,O68,IF(P68=Q68,P68,"판정 불능")))))</f>
        <v/>
      </c>
      <c r="Y68" s="2">
        <f>IF(COUNTA(O68:Q68)&lt;3,"",IF(AND(O68=P68,P68=Q68),"3/3",IF(OR(O68=P68,O68=Q68,P68=Q68),"2/3","0/3")))</f>
        <v/>
      </c>
    </row>
    <row r="69">
      <c r="A69" s="2" t="n">
        <v>68</v>
      </c>
      <c r="B69" s="2" t="inlineStr">
        <is>
          <t>W4403574994</t>
        </is>
      </c>
      <c r="C69" s="2" t="inlineStr">
        <is>
          <t>Measuring Spiritual Values and Bias of Large Languag</t>
        </is>
      </c>
      <c r="D69" s="2" t="inlineStr">
        <is>
          <t>custom</t>
        </is>
      </c>
      <c r="E69" s="2" t="n">
        <v>52.97</v>
      </c>
      <c r="F69" s="2" t="inlineStr">
        <is>
          <t>E</t>
        </is>
      </c>
      <c r="G69" s="2" t="n">
        <v>55.72</v>
      </c>
      <c r="H69" s="2" t="n">
        <v>40.597</v>
      </c>
      <c r="I69" s="2" t="n">
        <v>70.651</v>
      </c>
      <c r="J69" s="2" t="inlineStr">
        <is>
          <t>133</t>
        </is>
      </c>
      <c r="K69" s="2" t="inlineStr">
        <is>
          <t>0</t>
        </is>
      </c>
      <c r="L69" s="2" t="inlineStr"/>
      <c r="M69" s="2" t="inlineStr">
        <is>
          <t>재현</t>
        </is>
      </c>
      <c r="N69" s="2" t="inlineStr"/>
      <c r="O69" s="3" t="n"/>
      <c r="P69" s="3" t="n"/>
      <c r="Q69" s="3" t="n"/>
      <c r="R69" s="3" t="n"/>
      <c r="S69" s="3" t="n"/>
      <c r="T69" s="3" t="n"/>
      <c r="U69" s="3" t="n"/>
      <c r="V69" s="3" t="n"/>
      <c r="W69" s="3" t="n"/>
      <c r="X69" s="2">
        <f>IF(COUNTA(O69:Q69)&lt;3,"",IF(AND(O69=P69,P69=Q69),O69,IF(O69=P69,O69,IF(O69=Q69,O69,IF(P69=Q69,P69,"판정 불능")))))</f>
        <v/>
      </c>
      <c r="Y69" s="2">
        <f>IF(COUNTA(O69:Q69)&lt;3,"",IF(AND(O69=P69,P69=Q69),"3/3",IF(OR(O69=P69,O69=Q69,P69=Q69),"2/3","0/3")))</f>
        <v/>
      </c>
    </row>
    <row r="70">
      <c r="A70" s="2" t="n">
        <v>69</v>
      </c>
      <c r="B70" s="2" t="inlineStr">
        <is>
          <t>W4403580619</t>
        </is>
      </c>
      <c r="C70" s="2" t="inlineStr">
        <is>
          <t>Evaluating Gender Bias of LLMs in Making Morality Ju</t>
        </is>
      </c>
      <c r="D70" s="2" t="inlineStr">
        <is>
          <t>custom</t>
        </is>
      </c>
      <c r="E70" s="2" t="n">
        <v>0.1773</v>
      </c>
      <c r="F70" s="2" t="inlineStr">
        <is>
          <t>A</t>
        </is>
      </c>
      <c r="G70" s="2" t="n">
        <v>0.224</v>
      </c>
      <c r="H70" s="2" t="n">
        <v>0.197</v>
      </c>
      <c r="I70" s="2" t="n">
        <v>0.25</v>
      </c>
      <c r="J70" s="2" t="inlineStr">
        <is>
          <t>1816</t>
        </is>
      </c>
      <c r="K70" s="2" t="inlineStr">
        <is>
          <t>0</t>
        </is>
      </c>
      <c r="L70" s="2" t="inlineStr"/>
      <c r="M70" s="2" t="inlineStr">
        <is>
          <t>근접</t>
        </is>
      </c>
      <c r="N70" s="2" t="inlineStr"/>
      <c r="O70" s="3" t="n"/>
      <c r="P70" s="3" t="n"/>
      <c r="Q70" s="3" t="n"/>
      <c r="R70" s="3" t="n"/>
      <c r="S70" s="3" t="n"/>
      <c r="T70" s="3" t="n"/>
      <c r="U70" s="3" t="n"/>
      <c r="V70" s="3" t="n"/>
      <c r="W70" s="3" t="n"/>
      <c r="X70" s="2">
        <f>IF(COUNTA(O70:Q70)&lt;3,"",IF(AND(O70=P70,P70=Q70),O70,IF(O70=P70,O70,IF(O70=Q70,O70,IF(P70=Q70,P70,"판정 불능")))))</f>
        <v/>
      </c>
      <c r="Y70" s="2">
        <f>IF(COUNTA(O70:Q70)&lt;3,"",IF(AND(O70=P70,P70=Q70),"3/3",IF(OR(O70=P70,O70=Q70,P70=Q70),"2/3","0/3")))</f>
        <v/>
      </c>
    </row>
    <row r="71">
      <c r="A71" s="2" t="n">
        <v>70</v>
      </c>
      <c r="B71" s="2" t="inlineStr">
        <is>
          <t>W4403580619</t>
        </is>
      </c>
      <c r="C71" s="2" t="inlineStr">
        <is>
          <t>Evaluating Gender Bias of LLMs in Making Morality Ju</t>
        </is>
      </c>
      <c r="D71" s="2" t="inlineStr">
        <is>
          <t>custom</t>
        </is>
      </c>
      <c r="E71" s="2" t="n">
        <v>0.1773</v>
      </c>
      <c r="F71" s="2" t="inlineStr">
        <is>
          <t>B</t>
        </is>
      </c>
      <c r="G71" s="2" t="n">
        <v>0.215</v>
      </c>
      <c r="H71" s="2" t="n">
        <v>0.189</v>
      </c>
      <c r="I71" s="2" t="n">
        <v>0.24</v>
      </c>
      <c r="J71" s="2" t="inlineStr">
        <is>
          <t>1816</t>
        </is>
      </c>
      <c r="K71" s="2" t="inlineStr">
        <is>
          <t>0</t>
        </is>
      </c>
      <c r="L71" s="2" t="inlineStr"/>
      <c r="M71" s="2" t="inlineStr">
        <is>
          <t>근접</t>
        </is>
      </c>
      <c r="N71" s="2" t="inlineStr"/>
      <c r="O71" s="3" t="n"/>
      <c r="P71" s="3" t="n"/>
      <c r="Q71" s="3" t="n"/>
      <c r="R71" s="3" t="n"/>
      <c r="S71" s="3" t="n"/>
      <c r="T71" s="3" t="n"/>
      <c r="U71" s="3" t="n"/>
      <c r="V71" s="3" t="n"/>
      <c r="W71" s="3" t="n"/>
      <c r="X71" s="2">
        <f>IF(COUNTA(O71:Q71)&lt;3,"",IF(AND(O71=P71,P71=Q71),O71,IF(O71=P71,O71,IF(O71=Q71,O71,IF(P71=Q71,P71,"판정 불능")))))</f>
        <v/>
      </c>
      <c r="Y71" s="2">
        <f>IF(COUNTA(O71:Q71)&lt;3,"",IF(AND(O71=P71,P71=Q71),"3/3",IF(OR(O71=P71,O71=Q71,P71=Q71),"2/3","0/3")))</f>
        <v/>
      </c>
    </row>
    <row r="72">
      <c r="A72" s="2" t="n">
        <v>71</v>
      </c>
      <c r="B72" s="2" t="inlineStr">
        <is>
          <t>W4403580619</t>
        </is>
      </c>
      <c r="C72" s="2" t="inlineStr">
        <is>
          <t>Evaluating Gender Bias of LLMs in Making Morality Ju</t>
        </is>
      </c>
      <c r="D72" s="2" t="inlineStr">
        <is>
          <t>custom</t>
        </is>
      </c>
      <c r="E72" s="2" t="n">
        <v>0.1773</v>
      </c>
      <c r="F72" s="2" t="inlineStr">
        <is>
          <t>C</t>
        </is>
      </c>
      <c r="G72" s="2" t="n">
        <v>0.1703377386196769</v>
      </c>
      <c r="H72" s="2" t="n">
        <v>0.1497797356828194</v>
      </c>
      <c r="I72" s="2" t="n">
        <v>0.197136563876652</v>
      </c>
      <c r="J72" s="2" t="n">
        <v>1816</v>
      </c>
      <c r="K72" s="2" t="n">
        <v>0</v>
      </c>
      <c r="L72" s="2" t="inlineStr"/>
      <c r="M72" s="2" t="inlineStr">
        <is>
          <t>재현</t>
        </is>
      </c>
      <c r="N72" s="2" t="inlineStr"/>
      <c r="O72" s="3" t="n"/>
      <c r="P72" s="3" t="n"/>
      <c r="Q72" s="3" t="n"/>
      <c r="R72" s="3" t="n"/>
      <c r="S72" s="3" t="n"/>
      <c r="T72" s="3" t="n"/>
      <c r="U72" s="3" t="n"/>
      <c r="V72" s="3" t="n"/>
      <c r="W72" s="3" t="n"/>
      <c r="X72" s="2">
        <f>IF(COUNTA(O72:Q72)&lt;3,"",IF(AND(O72=P72,P72=Q72),O72,IF(O72=P72,O72,IF(O72=Q72,O72,IF(P72=Q72,P72,"판정 불능")))))</f>
        <v/>
      </c>
      <c r="Y72" s="2">
        <f>IF(COUNTA(O72:Q72)&lt;3,"",IF(AND(O72=P72,P72=Q72),"3/3",IF(OR(O72=P72,O72=Q72,P72=Q72),"2/3","0/3")))</f>
        <v/>
      </c>
    </row>
    <row r="73">
      <c r="A73" s="2" t="n">
        <v>72</v>
      </c>
      <c r="B73" s="2" t="inlineStr">
        <is>
          <t>W4403758464</t>
        </is>
      </c>
      <c r="C73" s="2" t="inlineStr">
        <is>
          <t>LLMs Still Can't Plan; Can LRMs? A Preliminary Evalu</t>
        </is>
      </c>
      <c r="D73" s="2" t="inlineStr">
        <is>
          <t>accuracy</t>
        </is>
      </c>
      <c r="E73" s="2" t="n">
        <v>40.1</v>
      </c>
      <c r="F73" s="2" t="inlineStr">
        <is>
          <t>A</t>
        </is>
      </c>
      <c r="G73" s="2" t="n">
        <v>99.5</v>
      </c>
      <c r="H73" s="2" t="n">
        <v>98.833</v>
      </c>
      <c r="I73" s="2" t="n">
        <v>100</v>
      </c>
      <c r="J73" s="2" t="inlineStr">
        <is>
          <t>600</t>
        </is>
      </c>
      <c r="K73" s="2" t="inlineStr">
        <is>
          <t>0</t>
        </is>
      </c>
      <c r="L73" s="2" t="inlineStr"/>
      <c r="M73" s="2" t="inlineStr">
        <is>
          <t>편차</t>
        </is>
      </c>
      <c r="N73" s="2" t="inlineStr"/>
      <c r="O73" s="3" t="n"/>
      <c r="P73" s="3" t="n"/>
      <c r="Q73" s="3" t="n"/>
      <c r="R73" s="3" t="n"/>
      <c r="S73" s="3" t="n"/>
      <c r="T73" s="3" t="n"/>
      <c r="U73" s="3" t="n"/>
      <c r="V73" s="3" t="n"/>
      <c r="W73" s="3" t="n"/>
      <c r="X73" s="2">
        <f>IF(COUNTA(O73:Q73)&lt;3,"",IF(AND(O73=P73,P73=Q73),O73,IF(O73=P73,O73,IF(O73=Q73,O73,IF(P73=Q73,P73,"판정 불능")))))</f>
        <v/>
      </c>
      <c r="Y73" s="2">
        <f>IF(COUNTA(O73:Q73)&lt;3,"",IF(AND(O73=P73,P73=Q73),"3/3",IF(OR(O73=P73,O73=Q73,P73=Q73),"2/3","0/3")))</f>
        <v/>
      </c>
    </row>
    <row r="74">
      <c r="A74" s="2" t="n">
        <v>73</v>
      </c>
      <c r="B74" s="2" t="inlineStr">
        <is>
          <t>W4403758464</t>
        </is>
      </c>
      <c r="C74" s="2" t="inlineStr">
        <is>
          <t>LLMs Still Can't Plan; Can LRMs? A Preliminary Evalu</t>
        </is>
      </c>
      <c r="D74" s="2" t="inlineStr">
        <is>
          <t>accuracy</t>
        </is>
      </c>
      <c r="E74" s="2" t="n">
        <v>40.1</v>
      </c>
      <c r="F74" s="2" t="inlineStr">
        <is>
          <t>B</t>
        </is>
      </c>
      <c r="G74" s="2" t="n">
        <v>36.333</v>
      </c>
      <c r="H74" s="2" t="n">
        <v>32.667</v>
      </c>
      <c r="I74" s="2" t="n">
        <v>40.171</v>
      </c>
      <c r="J74" s="2" t="inlineStr">
        <is>
          <t>600</t>
        </is>
      </c>
      <c r="K74" s="2" t="inlineStr">
        <is>
          <t>0</t>
        </is>
      </c>
      <c r="L74" s="2" t="inlineStr"/>
      <c r="M74" s="2" t="inlineStr">
        <is>
          <t>재현</t>
        </is>
      </c>
      <c r="N74" s="2" t="inlineStr"/>
      <c r="O74" s="3" t="n"/>
      <c r="P74" s="3" t="n"/>
      <c r="Q74" s="3" t="n"/>
      <c r="R74" s="3" t="n"/>
      <c r="S74" s="3" t="n"/>
      <c r="T74" s="3" t="n"/>
      <c r="U74" s="3" t="n"/>
      <c r="V74" s="3" t="n"/>
      <c r="W74" s="3" t="n"/>
      <c r="X74" s="2">
        <f>IF(COUNTA(O74:Q74)&lt;3,"",IF(AND(O74=P74,P74=Q74),O74,IF(O74=P74,O74,IF(O74=Q74,O74,IF(P74=Q74,P74,"판정 불능")))))</f>
        <v/>
      </c>
      <c r="Y74" s="2">
        <f>IF(COUNTA(O74:Q74)&lt;3,"",IF(AND(O74=P74,P74=Q74),"3/3",IF(OR(O74=P74,O74=Q74,P74=Q74),"2/3","0/3")))</f>
        <v/>
      </c>
    </row>
    <row r="75">
      <c r="A75" s="2" t="n">
        <v>74</v>
      </c>
      <c r="B75" s="2" t="inlineStr">
        <is>
          <t>W4403758464</t>
        </is>
      </c>
      <c r="C75" s="2" t="inlineStr">
        <is>
          <t>LLMs Still Can't Plan; Can LRMs? A Preliminary Evalu</t>
        </is>
      </c>
      <c r="D75" s="2" t="inlineStr">
        <is>
          <t>accuracy</t>
        </is>
      </c>
      <c r="E75" s="2" t="n">
        <v>40.1</v>
      </c>
      <c r="F75" s="2" t="inlineStr">
        <is>
          <t>C</t>
        </is>
      </c>
      <c r="G75" s="2" t="n">
        <v>100</v>
      </c>
      <c r="H75" s="2" t="n">
        <v>100</v>
      </c>
      <c r="I75" s="2" t="n">
        <v>100</v>
      </c>
      <c r="J75" s="2" t="inlineStr">
        <is>
          <t>600</t>
        </is>
      </c>
      <c r="K75" s="2" t="inlineStr">
        <is>
          <t>0</t>
        </is>
      </c>
      <c r="L75" s="2" t="inlineStr"/>
      <c r="M75" s="2" t="inlineStr">
        <is>
          <t>편차</t>
        </is>
      </c>
      <c r="N75" s="2" t="inlineStr"/>
      <c r="O75" s="3" t="n"/>
      <c r="P75" s="3" t="n"/>
      <c r="Q75" s="3" t="n"/>
      <c r="R75" s="3" t="n"/>
      <c r="S75" s="3" t="n"/>
      <c r="T75" s="3" t="n"/>
      <c r="U75" s="3" t="n"/>
      <c r="V75" s="3" t="n"/>
      <c r="W75" s="3" t="n"/>
      <c r="X75" s="2">
        <f>IF(COUNTA(O75:Q75)&lt;3,"",IF(AND(O75=P75,P75=Q75),O75,IF(O75=P75,O75,IF(O75=Q75,O75,IF(P75=Q75,P75,"판정 불능")))))</f>
        <v/>
      </c>
      <c r="Y75" s="2">
        <f>IF(COUNTA(O75:Q75)&lt;3,"",IF(AND(O75=P75,P75=Q75),"3/3",IF(OR(O75=P75,O75=Q75,P75=Q75),"2/3","0/3")))</f>
        <v/>
      </c>
    </row>
    <row r="76">
      <c r="A76" s="2" t="n">
        <v>75</v>
      </c>
      <c r="B76" s="2" t="inlineStr">
        <is>
          <t>W4403758464</t>
        </is>
      </c>
      <c r="C76" s="2" t="inlineStr">
        <is>
          <t>LLMs Still Can't Plan; Can LRMs? A Preliminary Evalu</t>
        </is>
      </c>
      <c r="D76" s="2" t="inlineStr">
        <is>
          <t>accuracy</t>
        </is>
      </c>
      <c r="E76" s="2" t="n">
        <v>40.1</v>
      </c>
      <c r="F76" s="2" t="inlineStr">
        <is>
          <t>D</t>
        </is>
      </c>
      <c r="G76" s="2" t="n">
        <v>35.88888888888889</v>
      </c>
      <c r="H76" s="2" t="n">
        <v>32</v>
      </c>
      <c r="I76" s="2" t="n">
        <v>39.50416666666665</v>
      </c>
      <c r="J76" s="2" t="n">
        <v>600</v>
      </c>
      <c r="K76" s="2" t="n">
        <v>0</v>
      </c>
      <c r="L76" s="2" t="inlineStr"/>
      <c r="M76" s="2" t="inlineStr">
        <is>
          <t>근접</t>
        </is>
      </c>
      <c r="N76" s="2" t="inlineStr"/>
      <c r="O76" s="3" t="n"/>
      <c r="P76" s="3" t="n"/>
      <c r="Q76" s="3" t="n"/>
      <c r="R76" s="3" t="n"/>
      <c r="S76" s="3" t="n"/>
      <c r="T76" s="3" t="n"/>
      <c r="U76" s="3" t="n"/>
      <c r="V76" s="3" t="n"/>
      <c r="W76" s="3" t="n"/>
      <c r="X76" s="2">
        <f>IF(COUNTA(O76:Q76)&lt;3,"",IF(AND(O76=P76,P76=Q76),O76,IF(O76=P76,O76,IF(O76=Q76,O76,IF(P76=Q76,P76,"판정 불능")))))</f>
        <v/>
      </c>
      <c r="Y76" s="2">
        <f>IF(COUNTA(O76:Q76)&lt;3,"",IF(AND(O76=P76,P76=Q76),"3/3",IF(OR(O76=P76,O76=Q76,P76=Q76),"2/3","0/3")))</f>
        <v/>
      </c>
    </row>
    <row r="77">
      <c r="A77" s="2" t="n">
        <v>76</v>
      </c>
      <c r="B77" s="2" t="inlineStr">
        <is>
          <t>W4403758464</t>
        </is>
      </c>
      <c r="C77" s="2" t="inlineStr">
        <is>
          <t>LLMs Still Can't Plan; Can LRMs? A Preliminary Evalu</t>
        </is>
      </c>
      <c r="D77" s="2" t="inlineStr">
        <is>
          <t>accuracy</t>
        </is>
      </c>
      <c r="E77" s="2" t="n">
        <v>40.1</v>
      </c>
      <c r="F77" s="2" t="inlineStr">
        <is>
          <t>E</t>
        </is>
      </c>
      <c r="G77" s="2" t="n">
        <v>60.333</v>
      </c>
      <c r="H77" s="2" t="n">
        <v>56.5</v>
      </c>
      <c r="I77" s="2" t="n">
        <v>64.337</v>
      </c>
      <c r="J77" s="2" t="inlineStr">
        <is>
          <t>600</t>
        </is>
      </c>
      <c r="K77" s="2" t="inlineStr">
        <is>
          <t>0</t>
        </is>
      </c>
      <c r="L77" s="2" t="inlineStr"/>
      <c r="M77" s="2" t="inlineStr">
        <is>
          <t>편차</t>
        </is>
      </c>
      <c r="N77" s="2" t="inlineStr"/>
      <c r="O77" s="3" t="n"/>
      <c r="P77" s="3" t="n"/>
      <c r="Q77" s="3" t="n"/>
      <c r="R77" s="3" t="n"/>
      <c r="S77" s="3" t="n"/>
      <c r="T77" s="3" t="n"/>
      <c r="U77" s="3" t="n"/>
      <c r="V77" s="3" t="n"/>
      <c r="W77" s="3" t="n"/>
      <c r="X77" s="2">
        <f>IF(COUNTA(O77:Q77)&lt;3,"",IF(AND(O77=P77,P77=Q77),O77,IF(O77=P77,O77,IF(O77=Q77,O77,IF(P77=Q77,P77,"판정 불능")))))</f>
        <v/>
      </c>
      <c r="Y77" s="2">
        <f>IF(COUNTA(O77:Q77)&lt;3,"",IF(AND(O77=P77,P77=Q77),"3/3",IF(OR(O77=P77,O77=Q77,P77=Q77),"2/3","0/3")))</f>
        <v/>
      </c>
    </row>
    <row r="78">
      <c r="A78" s="2" t="n">
        <v>77</v>
      </c>
      <c r="B78" s="2" t="inlineStr">
        <is>
          <t>W4403786592</t>
        </is>
      </c>
      <c r="C78" s="2" t="inlineStr">
        <is>
          <t xml:space="preserve">A Comprehensive Evaluation of Large Language Models </t>
        </is>
      </c>
      <c r="D78" s="2" t="inlineStr">
        <is>
          <t>custom</t>
        </is>
      </c>
      <c r="E78" s="2" t="n">
        <v>39.6</v>
      </c>
      <c r="F78" s="2" t="inlineStr">
        <is>
          <t>A</t>
        </is>
      </c>
      <c r="G78" s="2" t="n">
        <v>37.8</v>
      </c>
      <c r="H78" s="2" t="n">
        <v>34.8</v>
      </c>
      <c r="I78" s="2" t="n">
        <v>40.9</v>
      </c>
      <c r="J78" s="2" t="inlineStr">
        <is>
          <t>1000</t>
        </is>
      </c>
      <c r="K78" s="2" t="inlineStr">
        <is>
          <t>0</t>
        </is>
      </c>
      <c r="L78" s="2" t="inlineStr"/>
      <c r="M78" s="2" t="inlineStr">
        <is>
          <t>재현</t>
        </is>
      </c>
      <c r="N78" s="2" t="inlineStr"/>
      <c r="O78" s="3" t="n"/>
      <c r="P78" s="3" t="n"/>
      <c r="Q78" s="3" t="n"/>
      <c r="R78" s="3" t="n"/>
      <c r="S78" s="3" t="n"/>
      <c r="T78" s="3" t="n"/>
      <c r="U78" s="3" t="n"/>
      <c r="V78" s="3" t="n"/>
      <c r="W78" s="3" t="n"/>
      <c r="X78" s="2">
        <f>IF(COUNTA(O78:Q78)&lt;3,"",IF(AND(O78=P78,P78=Q78),O78,IF(O78=P78,O78,IF(O78=Q78,O78,IF(P78=Q78,P78,"판정 불능")))))</f>
        <v/>
      </c>
      <c r="Y78" s="2">
        <f>IF(COUNTA(O78:Q78)&lt;3,"",IF(AND(O78=P78,P78=Q78),"3/3",IF(OR(O78=P78,O78=Q78,P78=Q78),"2/3","0/3")))</f>
        <v/>
      </c>
    </row>
    <row r="79">
      <c r="A79" s="2" t="n">
        <v>78</v>
      </c>
      <c r="B79" s="2" t="inlineStr">
        <is>
          <t>W4403786592</t>
        </is>
      </c>
      <c r="C79" s="2" t="inlineStr">
        <is>
          <t xml:space="preserve">A Comprehensive Evaluation of Large Language Models </t>
        </is>
      </c>
      <c r="D79" s="2" t="inlineStr">
        <is>
          <t>custom</t>
        </is>
      </c>
      <c r="E79" s="2" t="n">
        <v>39.6</v>
      </c>
      <c r="F79" s="2" t="inlineStr">
        <is>
          <t>B</t>
        </is>
      </c>
      <c r="G79" s="2" t="n">
        <v>38.16666666666666</v>
      </c>
      <c r="H79" s="2" t="n">
        <v>35.4</v>
      </c>
      <c r="I79" s="2" t="n">
        <v>41.6</v>
      </c>
      <c r="J79" s="2" t="n">
        <v>1000</v>
      </c>
      <c r="K79" s="2" t="n">
        <v>0</v>
      </c>
      <c r="L79" s="2" t="inlineStr"/>
      <c r="M79" s="2" t="inlineStr">
        <is>
          <t>재현</t>
        </is>
      </c>
      <c r="N79" s="2" t="inlineStr"/>
      <c r="O79" s="3" t="n"/>
      <c r="P79" s="3" t="n"/>
      <c r="Q79" s="3" t="n"/>
      <c r="R79" s="3" t="n"/>
      <c r="S79" s="3" t="n"/>
      <c r="T79" s="3" t="n"/>
      <c r="U79" s="3" t="n"/>
      <c r="V79" s="3" t="n"/>
      <c r="W79" s="3" t="n"/>
      <c r="X79" s="2">
        <f>IF(COUNTA(O79:Q79)&lt;3,"",IF(AND(O79=P79,P79=Q79),O79,IF(O79=P79,O79,IF(O79=Q79,O79,IF(P79=Q79,P79,"판정 불능")))))</f>
        <v/>
      </c>
      <c r="Y79" s="2">
        <f>IF(COUNTA(O79:Q79)&lt;3,"",IF(AND(O79=P79,P79=Q79),"3/3",IF(OR(O79=P79,O79=Q79,P79=Q79),"2/3","0/3")))</f>
        <v/>
      </c>
    </row>
    <row r="80">
      <c r="A80" s="2" t="n">
        <v>79</v>
      </c>
      <c r="B80" s="2" t="inlineStr">
        <is>
          <t>W4403786592</t>
        </is>
      </c>
      <c r="C80" s="2" t="inlineStr">
        <is>
          <t xml:space="preserve">A Comprehensive Evaluation of Large Language Models </t>
        </is>
      </c>
      <c r="D80" s="2" t="inlineStr">
        <is>
          <t>custom</t>
        </is>
      </c>
      <c r="E80" s="2" t="n">
        <v>39.6</v>
      </c>
      <c r="F80" s="2" t="inlineStr">
        <is>
          <t>C</t>
        </is>
      </c>
      <c r="G80" s="2" t="n">
        <v>32.4</v>
      </c>
      <c r="H80" s="2" t="n">
        <v>29.4</v>
      </c>
      <c r="I80" s="2" t="n">
        <v>35.4</v>
      </c>
      <c r="J80" s="2" t="inlineStr">
        <is>
          <t>1000</t>
        </is>
      </c>
      <c r="K80" s="2" t="inlineStr">
        <is>
          <t>0</t>
        </is>
      </c>
      <c r="L80" s="2" t="inlineStr"/>
      <c r="M80" s="2" t="inlineStr">
        <is>
          <t>편차</t>
        </is>
      </c>
      <c r="N80" s="2" t="inlineStr"/>
      <c r="O80" s="3" t="n"/>
      <c r="P80" s="3" t="n"/>
      <c r="Q80" s="3" t="n"/>
      <c r="R80" s="3" t="n"/>
      <c r="S80" s="3" t="n"/>
      <c r="T80" s="3" t="n"/>
      <c r="U80" s="3" t="n"/>
      <c r="V80" s="3" t="n"/>
      <c r="W80" s="3" t="n"/>
      <c r="X80" s="2">
        <f>IF(COUNTA(O80:Q80)&lt;3,"",IF(AND(O80=P80,P80=Q80),O80,IF(O80=P80,O80,IF(O80=Q80,O80,IF(P80=Q80,P80,"판정 불능")))))</f>
        <v/>
      </c>
      <c r="Y80" s="2">
        <f>IF(COUNTA(O80:Q80)&lt;3,"",IF(AND(O80=P80,P80=Q80),"3/3",IF(OR(O80=P80,O80=Q80,P80=Q80),"2/3","0/3")))</f>
        <v/>
      </c>
    </row>
    <row r="81">
      <c r="A81" s="2" t="n">
        <v>80</v>
      </c>
      <c r="B81" s="2" t="inlineStr">
        <is>
          <t>W4403786592</t>
        </is>
      </c>
      <c r="C81" s="2" t="inlineStr">
        <is>
          <t xml:space="preserve">A Comprehensive Evaluation of Large Language Models </t>
        </is>
      </c>
      <c r="D81" s="2" t="inlineStr">
        <is>
          <t>custom</t>
        </is>
      </c>
      <c r="E81" s="2" t="n">
        <v>39.6</v>
      </c>
      <c r="F81" s="2" t="inlineStr">
        <is>
          <t>D</t>
        </is>
      </c>
      <c r="G81" s="2" t="n">
        <v>38.6</v>
      </c>
      <c r="H81" s="2" t="n">
        <v>35.697</v>
      </c>
      <c r="I81" s="2" t="n">
        <v>41.7</v>
      </c>
      <c r="J81" s="2" t="inlineStr">
        <is>
          <t>1000</t>
        </is>
      </c>
      <c r="K81" s="2" t="inlineStr">
        <is>
          <t>1</t>
        </is>
      </c>
      <c r="L81" s="2" t="inlineStr"/>
      <c r="M81" s="2" t="inlineStr">
        <is>
          <t>재현</t>
        </is>
      </c>
      <c r="N81" s="2" t="inlineStr"/>
      <c r="O81" s="3" t="n"/>
      <c r="P81" s="3" t="n"/>
      <c r="Q81" s="3" t="n"/>
      <c r="R81" s="3" t="n"/>
      <c r="S81" s="3" t="n"/>
      <c r="T81" s="3" t="n"/>
      <c r="U81" s="3" t="n"/>
      <c r="V81" s="3" t="n"/>
      <c r="W81" s="3" t="n"/>
      <c r="X81" s="2">
        <f>IF(COUNTA(O81:Q81)&lt;3,"",IF(AND(O81=P81,P81=Q81),O81,IF(O81=P81,O81,IF(O81=Q81,O81,IF(P81=Q81,P81,"판정 불능")))))</f>
        <v/>
      </c>
      <c r="Y81" s="2">
        <f>IF(COUNTA(O81:Q81)&lt;3,"",IF(AND(O81=P81,P81=Q81),"3/3",IF(OR(O81=P81,O81=Q81,P81=Q81),"2/3","0/3")))</f>
        <v/>
      </c>
    </row>
    <row r="82">
      <c r="A82" s="2" t="n">
        <v>81</v>
      </c>
      <c r="B82" s="2" t="inlineStr">
        <is>
          <t>W4403786592</t>
        </is>
      </c>
      <c r="C82" s="2" t="inlineStr">
        <is>
          <t xml:space="preserve">A Comprehensive Evaluation of Large Language Models </t>
        </is>
      </c>
      <c r="D82" s="2" t="inlineStr">
        <is>
          <t>custom</t>
        </is>
      </c>
      <c r="E82" s="2" t="n">
        <v>39.6</v>
      </c>
      <c r="F82" s="2" t="inlineStr">
        <is>
          <t>E</t>
        </is>
      </c>
      <c r="G82" s="2" t="n">
        <v>33.9</v>
      </c>
      <c r="H82" s="2" t="n">
        <v>30.898</v>
      </c>
      <c r="I82" s="2" t="n">
        <v>36.702</v>
      </c>
      <c r="J82" s="2" t="inlineStr">
        <is>
          <t>1000</t>
        </is>
      </c>
      <c r="K82" s="2" t="inlineStr">
        <is>
          <t>0</t>
        </is>
      </c>
      <c r="L82" s="2" t="inlineStr"/>
      <c r="M82" s="2" t="inlineStr">
        <is>
          <t>편차</t>
        </is>
      </c>
      <c r="N82" s="2" t="inlineStr"/>
      <c r="O82" s="3" t="n"/>
      <c r="P82" s="3" t="n"/>
      <c r="Q82" s="3" t="n"/>
      <c r="R82" s="3" t="n"/>
      <c r="S82" s="3" t="n"/>
      <c r="T82" s="3" t="n"/>
      <c r="U82" s="3" t="n"/>
      <c r="V82" s="3" t="n"/>
      <c r="W82" s="3" t="n"/>
      <c r="X82" s="2">
        <f>IF(COUNTA(O82:Q82)&lt;3,"",IF(AND(O82=P82,P82=Q82),O82,IF(O82=P82,O82,IF(O82=Q82,O82,IF(P82=Q82,P82,"판정 불능")))))</f>
        <v/>
      </c>
      <c r="Y82" s="2">
        <f>IF(COUNTA(O82:Q82)&lt;3,"",IF(AND(O82=P82,P82=Q82),"3/3",IF(OR(O82=P82,O82=Q82,P82=Q82),"2/3","0/3")))</f>
        <v/>
      </c>
    </row>
    <row r="83">
      <c r="A83" s="2" t="n">
        <v>82</v>
      </c>
      <c r="B83" s="2" t="inlineStr">
        <is>
          <t>W4403882451</t>
        </is>
      </c>
      <c r="C83" s="2" t="inlineStr">
        <is>
          <t>Planning in Strawberry Fields: Evaluating and Improv</t>
        </is>
      </c>
      <c r="D83" s="2" t="inlineStr">
        <is>
          <t>accuracy</t>
        </is>
      </c>
      <c r="E83" s="2" t="n">
        <v>40.1</v>
      </c>
      <c r="F83" s="2" t="inlineStr">
        <is>
          <t>A</t>
        </is>
      </c>
      <c r="G83" s="2" t="n">
        <v>34.88888888888889</v>
      </c>
      <c r="H83" s="2" t="n">
        <v>30.5</v>
      </c>
      <c r="I83" s="2" t="n">
        <v>38</v>
      </c>
      <c r="J83" s="2" t="n">
        <v>600</v>
      </c>
      <c r="K83" s="2" t="n">
        <v>0</v>
      </c>
      <c r="L83" s="2" t="inlineStr"/>
      <c r="M83" s="2" t="inlineStr">
        <is>
          <t>편차</t>
        </is>
      </c>
      <c r="N83" s="2" t="inlineStr"/>
      <c r="O83" s="3" t="n"/>
      <c r="P83" s="3" t="n"/>
      <c r="Q83" s="3" t="n"/>
      <c r="R83" s="3" t="n"/>
      <c r="S83" s="3" t="n"/>
      <c r="T83" s="3" t="n"/>
      <c r="U83" s="3" t="n"/>
      <c r="V83" s="3" t="n"/>
      <c r="W83" s="3" t="n"/>
      <c r="X83" s="2">
        <f>IF(COUNTA(O83:Q83)&lt;3,"",IF(AND(O83=P83,P83=Q83),O83,IF(O83=P83,O83,IF(O83=Q83,O83,IF(P83=Q83,P83,"판정 불능")))))</f>
        <v/>
      </c>
      <c r="Y83" s="2">
        <f>IF(COUNTA(O83:Q83)&lt;3,"",IF(AND(O83=P83,P83=Q83),"3/3",IF(OR(O83=P83,O83=Q83,P83=Q83),"2/3","0/3")))</f>
        <v/>
      </c>
    </row>
    <row r="84">
      <c r="A84" s="2" t="n">
        <v>83</v>
      </c>
      <c r="B84" s="2" t="inlineStr">
        <is>
          <t>W4403882451</t>
        </is>
      </c>
      <c r="C84" s="2" t="inlineStr">
        <is>
          <t>Planning in Strawberry Fields: Evaluating and Improv</t>
        </is>
      </c>
      <c r="D84" s="2" t="inlineStr">
        <is>
          <t>accuracy</t>
        </is>
      </c>
      <c r="E84" s="2" t="n">
        <v>40.1</v>
      </c>
      <c r="F84" s="2" t="inlineStr">
        <is>
          <t>B</t>
        </is>
      </c>
      <c r="G84" s="2" t="n">
        <v>100</v>
      </c>
      <c r="H84" s="2" t="n">
        <v>100</v>
      </c>
      <c r="I84" s="2" t="n">
        <v>100</v>
      </c>
      <c r="J84" s="2" t="inlineStr">
        <is>
          <t>432</t>
        </is>
      </c>
      <c r="K84" s="2" t="inlineStr">
        <is>
          <t>0</t>
        </is>
      </c>
      <c r="L84" s="2" t="inlineStr">
        <is>
          <t>예</t>
        </is>
      </c>
      <c r="M84" s="2" t="inlineStr">
        <is>
          <t>편차</t>
        </is>
      </c>
      <c r="N84" s="2" t="inlineStr"/>
      <c r="O84" s="3" t="n"/>
      <c r="P84" s="3" t="n"/>
      <c r="Q84" s="3" t="n"/>
      <c r="R84" s="3" t="n"/>
      <c r="S84" s="3" t="n"/>
      <c r="T84" s="3" t="n"/>
      <c r="U84" s="3" t="n"/>
      <c r="V84" s="3" t="n"/>
      <c r="W84" s="3" t="n"/>
      <c r="X84" s="2">
        <f>IF(COUNTA(O84:Q84)&lt;3,"",IF(AND(O84=P84,P84=Q84),O84,IF(O84=P84,O84,IF(O84=Q84,O84,IF(P84=Q84,P84,"판정 불능")))))</f>
        <v/>
      </c>
      <c r="Y84" s="2">
        <f>IF(COUNTA(O84:Q84)&lt;3,"",IF(AND(O84=P84,P84=Q84),"3/3",IF(OR(O84=P84,O84=Q84,P84=Q84),"2/3","0/3")))</f>
        <v/>
      </c>
    </row>
    <row r="85">
      <c r="A85" s="2" t="n">
        <v>84</v>
      </c>
      <c r="B85" s="2" t="inlineStr">
        <is>
          <t>W4403882451</t>
        </is>
      </c>
      <c r="C85" s="2" t="inlineStr">
        <is>
          <t>Planning in Strawberry Fields: Evaluating and Improv</t>
        </is>
      </c>
      <c r="D85" s="2" t="inlineStr">
        <is>
          <t>accuracy</t>
        </is>
      </c>
      <c r="E85" s="2" t="n">
        <v>40.1</v>
      </c>
      <c r="F85" s="2" t="inlineStr">
        <is>
          <t>C</t>
        </is>
      </c>
      <c r="G85" s="2" t="n">
        <v>36.333</v>
      </c>
      <c r="H85" s="2" t="n">
        <v>32.5</v>
      </c>
      <c r="I85" s="2" t="n">
        <v>40.167</v>
      </c>
      <c r="J85" s="2" t="inlineStr">
        <is>
          <t>600</t>
        </is>
      </c>
      <c r="K85" s="2" t="inlineStr">
        <is>
          <t>0</t>
        </is>
      </c>
      <c r="L85" s="2" t="inlineStr"/>
      <c r="M85" s="2" t="inlineStr">
        <is>
          <t>재현</t>
        </is>
      </c>
      <c r="N85" s="2" t="inlineStr"/>
      <c r="O85" s="3" t="n"/>
      <c r="P85" s="3" t="n"/>
      <c r="Q85" s="3" t="n"/>
      <c r="R85" s="3" t="n"/>
      <c r="S85" s="3" t="n"/>
      <c r="T85" s="3" t="n"/>
      <c r="U85" s="3" t="n"/>
      <c r="V85" s="3" t="n"/>
      <c r="W85" s="3" t="n"/>
      <c r="X85" s="2">
        <f>IF(COUNTA(O85:Q85)&lt;3,"",IF(AND(O85=P85,P85=Q85),O85,IF(O85=P85,O85,IF(O85=Q85,O85,IF(P85=Q85,P85,"판정 불능")))))</f>
        <v/>
      </c>
      <c r="Y85" s="2">
        <f>IF(COUNTA(O85:Q85)&lt;3,"",IF(AND(O85=P85,P85=Q85),"3/3",IF(OR(O85=P85,O85=Q85,P85=Q85),"2/3","0/3")))</f>
        <v/>
      </c>
    </row>
    <row r="86">
      <c r="A86" s="2" t="n">
        <v>85</v>
      </c>
      <c r="B86" s="2" t="inlineStr">
        <is>
          <t>W4403882451</t>
        </is>
      </c>
      <c r="C86" s="2" t="inlineStr">
        <is>
          <t>Planning in Strawberry Fields: Evaluating and Improv</t>
        </is>
      </c>
      <c r="D86" s="2" t="inlineStr">
        <is>
          <t>accuracy</t>
        </is>
      </c>
      <c r="E86" s="2" t="n">
        <v>40.1</v>
      </c>
      <c r="F86" s="2" t="inlineStr">
        <is>
          <t>D</t>
        </is>
      </c>
      <c r="G86" s="2" t="n">
        <v>61.5</v>
      </c>
      <c r="H86" s="2" t="n">
        <v>57.5</v>
      </c>
      <c r="I86" s="2" t="n">
        <v>65.004</v>
      </c>
      <c r="J86" s="2" t="inlineStr">
        <is>
          <t>600</t>
        </is>
      </c>
      <c r="K86" s="2" t="inlineStr">
        <is>
          <t>0</t>
        </is>
      </c>
      <c r="L86" s="2" t="inlineStr"/>
      <c r="M86" s="2" t="inlineStr">
        <is>
          <t>편차</t>
        </is>
      </c>
      <c r="N86" s="2" t="inlineStr"/>
      <c r="O86" s="3" t="n"/>
      <c r="P86" s="3" t="n"/>
      <c r="Q86" s="3" t="n"/>
      <c r="R86" s="3" t="n"/>
      <c r="S86" s="3" t="n"/>
      <c r="T86" s="3" t="n"/>
      <c r="U86" s="3" t="n"/>
      <c r="V86" s="3" t="n"/>
      <c r="W86" s="3" t="n"/>
      <c r="X86" s="2">
        <f>IF(COUNTA(O86:Q86)&lt;3,"",IF(AND(O86=P86,P86=Q86),O86,IF(O86=P86,O86,IF(O86=Q86,O86,IF(P86=Q86,P86,"판정 불능")))))</f>
        <v/>
      </c>
      <c r="Y86" s="2">
        <f>IF(COUNTA(O86:Q86)&lt;3,"",IF(AND(O86=P86,P86=Q86),"3/3",IF(OR(O86=P86,O86=Q86,P86=Q86),"2/3","0/3")))</f>
        <v/>
      </c>
    </row>
    <row r="87">
      <c r="A87" s="2" t="n">
        <v>86</v>
      </c>
      <c r="B87" s="2" t="inlineStr">
        <is>
          <t>W4403882451</t>
        </is>
      </c>
      <c r="C87" s="2" t="inlineStr">
        <is>
          <t>Planning in Strawberry Fields: Evaluating and Improv</t>
        </is>
      </c>
      <c r="D87" s="2" t="inlineStr">
        <is>
          <t>accuracy</t>
        </is>
      </c>
      <c r="E87" s="2" t="n">
        <v>40.1</v>
      </c>
      <c r="F87" s="2" t="inlineStr">
        <is>
          <t>E</t>
        </is>
      </c>
      <c r="G87" s="2" t="n">
        <v>99.667</v>
      </c>
      <c r="H87" s="2" t="n">
        <v>99.167</v>
      </c>
      <c r="I87" s="2" t="n">
        <v>100</v>
      </c>
      <c r="J87" s="2" t="inlineStr">
        <is>
          <t>600</t>
        </is>
      </c>
      <c r="K87" s="2" t="inlineStr">
        <is>
          <t>0</t>
        </is>
      </c>
      <c r="L87" s="2" t="inlineStr"/>
      <c r="M87" s="2" t="inlineStr">
        <is>
          <t>편차</t>
        </is>
      </c>
      <c r="N87" s="2" t="inlineStr"/>
      <c r="O87" s="3" t="n"/>
      <c r="P87" s="3" t="n"/>
      <c r="Q87" s="3" t="n"/>
      <c r="R87" s="3" t="n"/>
      <c r="S87" s="3" t="n"/>
      <c r="T87" s="3" t="n"/>
      <c r="U87" s="3" t="n"/>
      <c r="V87" s="3" t="n"/>
      <c r="W87" s="3" t="n"/>
      <c r="X87" s="2">
        <f>IF(COUNTA(O87:Q87)&lt;3,"",IF(AND(O87=P87,P87=Q87),O87,IF(O87=P87,O87,IF(O87=Q87,O87,IF(P87=Q87,P87,"판정 불능")))))</f>
        <v/>
      </c>
      <c r="Y87" s="2">
        <f>IF(COUNTA(O87:Q87)&lt;3,"",IF(AND(O87=P87,P87=Q87),"3/3",IF(OR(O87=P87,O87=Q87,P87=Q87),"2/3","0/3")))</f>
        <v/>
      </c>
    </row>
    <row r="88">
      <c r="A88" s="2" t="n">
        <v>87</v>
      </c>
      <c r="B88" s="2" t="inlineStr">
        <is>
          <t>W4403885225</t>
        </is>
      </c>
      <c r="C88" s="2" t="inlineStr">
        <is>
          <t>Justice or Prejudice? Quantifying Biases in LLM-as-a</t>
        </is>
      </c>
      <c r="D88" s="2" t="inlineStr">
        <is>
          <t>custom</t>
        </is>
      </c>
      <c r="E88" s="2" t="n">
        <v>0.915</v>
      </c>
      <c r="F88" s="2" t="inlineStr">
        <is>
          <t>A</t>
        </is>
      </c>
      <c r="G88" s="2" t="n">
        <v>0.978</v>
      </c>
      <c r="H88" s="2" t="n">
        <v>0.964</v>
      </c>
      <c r="I88" s="2" t="n">
        <v>0.99</v>
      </c>
      <c r="J88" s="2" t="inlineStr">
        <is>
          <t>1000</t>
        </is>
      </c>
      <c r="K88" s="2" t="inlineStr">
        <is>
          <t>0</t>
        </is>
      </c>
      <c r="L88" s="2" t="inlineStr"/>
      <c r="M88" s="2" t="inlineStr">
        <is>
          <t>편차</t>
        </is>
      </c>
      <c r="N88" s="2" t="inlineStr"/>
      <c r="O88" s="3" t="n"/>
      <c r="P88" s="3" t="n"/>
      <c r="Q88" s="3" t="n"/>
      <c r="R88" s="3" t="n"/>
      <c r="S88" s="3" t="n"/>
      <c r="T88" s="3" t="n"/>
      <c r="U88" s="3" t="n"/>
      <c r="V88" s="3" t="n"/>
      <c r="W88" s="3" t="n"/>
      <c r="X88" s="2">
        <f>IF(COUNTA(O88:Q88)&lt;3,"",IF(AND(O88=P88,P88=Q88),O88,IF(O88=P88,O88,IF(O88=Q88,O88,IF(P88=Q88,P88,"판정 불능")))))</f>
        <v/>
      </c>
      <c r="Y88" s="2">
        <f>IF(COUNTA(O88:Q88)&lt;3,"",IF(AND(O88=P88,P88=Q88),"3/3",IF(OR(O88=P88,O88=Q88,P88=Q88),"2/3","0/3")))</f>
        <v/>
      </c>
    </row>
    <row r="89">
      <c r="A89" s="2" t="n">
        <v>88</v>
      </c>
      <c r="B89" s="2" t="inlineStr">
        <is>
          <t>W4403885225</t>
        </is>
      </c>
      <c r="C89" s="2" t="inlineStr">
        <is>
          <t>Justice or Prejudice? Quantifying Biases in LLM-as-a</t>
        </is>
      </c>
      <c r="D89" s="2" t="inlineStr">
        <is>
          <t>custom</t>
        </is>
      </c>
      <c r="E89" s="2" t="n">
        <v>0.915</v>
      </c>
      <c r="F89" s="2" t="inlineStr">
        <is>
          <t>B</t>
        </is>
      </c>
      <c r="G89" s="2" t="n">
        <v>0.926</v>
      </c>
      <c r="H89" s="2" t="n">
        <v>0.902</v>
      </c>
      <c r="I89" s="2" t="n">
        <v>0.948</v>
      </c>
      <c r="J89" s="2" t="n">
        <v>1000</v>
      </c>
      <c r="K89" s="2" t="n">
        <v>5</v>
      </c>
      <c r="L89" s="2" t="inlineStr"/>
      <c r="M89" s="2" t="inlineStr">
        <is>
          <t>재현</t>
        </is>
      </c>
      <c r="N89" s="2" t="inlineStr"/>
      <c r="O89" s="3" t="n"/>
      <c r="P89" s="3" t="n"/>
      <c r="Q89" s="3" t="n"/>
      <c r="R89" s="3" t="n"/>
      <c r="S89" s="3" t="n"/>
      <c r="T89" s="3" t="n"/>
      <c r="U89" s="3" t="n"/>
      <c r="V89" s="3" t="n"/>
      <c r="W89" s="3" t="n"/>
      <c r="X89" s="2">
        <f>IF(COUNTA(O89:Q89)&lt;3,"",IF(AND(O89=P89,P89=Q89),O89,IF(O89=P89,O89,IF(O89=Q89,O89,IF(P89=Q89,P89,"판정 불능")))))</f>
        <v/>
      </c>
      <c r="Y89" s="2">
        <f>IF(COUNTA(O89:Q89)&lt;3,"",IF(AND(O89=P89,P89=Q89),"3/3",IF(OR(O89=P89,O89=Q89,P89=Q89),"2/3","0/3")))</f>
        <v/>
      </c>
    </row>
    <row r="90">
      <c r="A90" s="2" t="n">
        <v>89</v>
      </c>
      <c r="B90" s="2" t="inlineStr">
        <is>
          <t>W4403885225</t>
        </is>
      </c>
      <c r="C90" s="2" t="inlineStr">
        <is>
          <t>Justice or Prejudice? Quantifying Biases in LLM-as-a</t>
        </is>
      </c>
      <c r="D90" s="2" t="inlineStr">
        <is>
          <t>custom</t>
        </is>
      </c>
      <c r="E90" s="2" t="n">
        <v>0.915</v>
      </c>
      <c r="F90" s="2" t="inlineStr">
        <is>
          <t>C</t>
        </is>
      </c>
      <c r="G90" s="2" t="n">
        <v>0.97</v>
      </c>
      <c r="H90" s="2" t="n">
        <v>0.954</v>
      </c>
      <c r="I90" s="2" t="n">
        <v>0.984</v>
      </c>
      <c r="J90" s="2" t="inlineStr">
        <is>
          <t>1000</t>
        </is>
      </c>
      <c r="K90" s="2" t="inlineStr">
        <is>
          <t>1</t>
        </is>
      </c>
      <c r="L90" s="2" t="inlineStr"/>
      <c r="M90" s="2" t="inlineStr">
        <is>
          <t>편차</t>
        </is>
      </c>
      <c r="N90" s="2" t="inlineStr"/>
      <c r="O90" s="3" t="n"/>
      <c r="P90" s="3" t="n"/>
      <c r="Q90" s="3" t="n"/>
      <c r="R90" s="3" t="n"/>
      <c r="S90" s="3" t="n"/>
      <c r="T90" s="3" t="n"/>
      <c r="U90" s="3" t="n"/>
      <c r="V90" s="3" t="n"/>
      <c r="W90" s="3" t="n"/>
      <c r="X90" s="2">
        <f>IF(COUNTA(O90:Q90)&lt;3,"",IF(AND(O90=P90,P90=Q90),O90,IF(O90=P90,O90,IF(O90=Q90,O90,IF(P90=Q90,P90,"판정 불능")))))</f>
        <v/>
      </c>
      <c r="Y90" s="2">
        <f>IF(COUNTA(O90:Q90)&lt;3,"",IF(AND(O90=P90,P90=Q90),"3/3",IF(OR(O90=P90,O90=Q90,P90=Q90),"2/3","0/3")))</f>
        <v/>
      </c>
    </row>
    <row r="91">
      <c r="A91" s="2" t="n">
        <v>90</v>
      </c>
      <c r="B91" s="2" t="inlineStr">
        <is>
          <t>W4403885225</t>
        </is>
      </c>
      <c r="C91" s="2" t="inlineStr">
        <is>
          <t>Justice or Prejudice? Quantifying Biases in LLM-as-a</t>
        </is>
      </c>
      <c r="D91" s="2" t="inlineStr">
        <is>
          <t>custom</t>
        </is>
      </c>
      <c r="E91" s="2" t="n">
        <v>0.915</v>
      </c>
      <c r="F91" s="2" t="inlineStr">
        <is>
          <t>D</t>
        </is>
      </c>
      <c r="G91" s="2" t="n">
        <v>0.987</v>
      </c>
      <c r="H91" s="2" t="n">
        <v>0.974</v>
      </c>
      <c r="I91" s="2" t="n">
        <v>0.997</v>
      </c>
      <c r="J91" s="2" t="inlineStr">
        <is>
          <t>871</t>
        </is>
      </c>
      <c r="K91" s="2" t="inlineStr">
        <is>
          <t>0</t>
        </is>
      </c>
      <c r="L91" s="2" t="inlineStr">
        <is>
          <t>예</t>
        </is>
      </c>
      <c r="M91" s="2" t="inlineStr">
        <is>
          <t>편차</t>
        </is>
      </c>
      <c r="N91" s="2" t="inlineStr"/>
      <c r="O91" s="3" t="n"/>
      <c r="P91" s="3" t="n"/>
      <c r="Q91" s="3" t="n"/>
      <c r="R91" s="3" t="n"/>
      <c r="S91" s="3" t="n"/>
      <c r="T91" s="3" t="n"/>
      <c r="U91" s="3" t="n"/>
      <c r="V91" s="3" t="n"/>
      <c r="W91" s="3" t="n"/>
      <c r="X91" s="2">
        <f>IF(COUNTA(O91:Q91)&lt;3,"",IF(AND(O91=P91,P91=Q91),O91,IF(O91=P91,O91,IF(O91=Q91,O91,IF(P91=Q91,P91,"판정 불능")))))</f>
        <v/>
      </c>
      <c r="Y91" s="2">
        <f>IF(COUNTA(O91:Q91)&lt;3,"",IF(AND(O91=P91,P91=Q91),"3/3",IF(OR(O91=P91,O91=Q91,P91=Q91),"2/3","0/3")))</f>
        <v/>
      </c>
    </row>
    <row r="92">
      <c r="A92" s="2" t="n">
        <v>91</v>
      </c>
      <c r="B92" s="2" t="inlineStr">
        <is>
          <t>W4403885225</t>
        </is>
      </c>
      <c r="C92" s="2" t="inlineStr">
        <is>
          <t>Justice or Prejudice? Quantifying Biases in LLM-as-a</t>
        </is>
      </c>
      <c r="D92" s="2" t="inlineStr">
        <is>
          <t>custom</t>
        </is>
      </c>
      <c r="E92" s="2" t="n">
        <v>0.915</v>
      </c>
      <c r="F92" s="2" t="inlineStr">
        <is>
          <t>E</t>
        </is>
      </c>
      <c r="G92" s="2" t="n">
        <v>0.99</v>
      </c>
      <c r="H92" s="2" t="n">
        <v>0.982</v>
      </c>
      <c r="I92" s="2" t="n">
        <v>0.998</v>
      </c>
      <c r="J92" s="2" t="inlineStr">
        <is>
          <t>1000</t>
        </is>
      </c>
      <c r="K92" s="2" t="inlineStr">
        <is>
          <t>0</t>
        </is>
      </c>
      <c r="L92" s="2" t="inlineStr"/>
      <c r="M92" s="2" t="inlineStr">
        <is>
          <t>편차</t>
        </is>
      </c>
      <c r="N92" s="2" t="inlineStr"/>
      <c r="O92" s="3" t="n"/>
      <c r="P92" s="3" t="n"/>
      <c r="Q92" s="3" t="n"/>
      <c r="R92" s="3" t="n"/>
      <c r="S92" s="3" t="n"/>
      <c r="T92" s="3" t="n"/>
      <c r="U92" s="3" t="n"/>
      <c r="V92" s="3" t="n"/>
      <c r="W92" s="3" t="n"/>
      <c r="X92" s="2">
        <f>IF(COUNTA(O92:Q92)&lt;3,"",IF(AND(O92=P92,P92=Q92),O92,IF(O92=P92,O92,IF(O92=Q92,O92,IF(P92=Q92,P92,"판정 불능")))))</f>
        <v/>
      </c>
      <c r="Y92" s="2">
        <f>IF(COUNTA(O92:Q92)&lt;3,"",IF(AND(O92=P92,P92=Q92),"3/3",IF(OR(O92=P92,O92=Q92,P92=Q92),"2/3","0/3")))</f>
        <v/>
      </c>
    </row>
    <row r="93">
      <c r="A93" s="2" t="n">
        <v>92</v>
      </c>
      <c r="B93" s="2" t="inlineStr">
        <is>
          <t>W4404314294</t>
        </is>
      </c>
      <c r="C93" s="2" t="inlineStr">
        <is>
          <t>DisasterQA: A Benchmark for Assessing the performanc</t>
        </is>
      </c>
      <c r="D93" s="2" t="inlineStr">
        <is>
          <t>accuracy</t>
        </is>
      </c>
      <c r="E93" s="2" t="n">
        <v>0.8169999999999999</v>
      </c>
      <c r="F93" s="2" t="inlineStr">
        <is>
          <t>A</t>
        </is>
      </c>
      <c r="G93" s="2" t="n">
        <v>0.901</v>
      </c>
      <c r="H93" s="2" t="n">
        <v>0.878</v>
      </c>
      <c r="I93" s="2" t="n">
        <v>0.922</v>
      </c>
      <c r="J93" s="2" t="inlineStr">
        <is>
          <t>707</t>
        </is>
      </c>
      <c r="K93" s="2" t="inlineStr">
        <is>
          <t>2</t>
        </is>
      </c>
      <c r="L93" s="2" t="inlineStr"/>
      <c r="M93" s="2" t="inlineStr">
        <is>
          <t>편차</t>
        </is>
      </c>
      <c r="N93" s="2" t="inlineStr"/>
      <c r="O93" s="3" t="n"/>
      <c r="P93" s="3" t="n"/>
      <c r="Q93" s="3" t="n"/>
      <c r="R93" s="3" t="n"/>
      <c r="S93" s="3" t="n"/>
      <c r="T93" s="3" t="n"/>
      <c r="U93" s="3" t="n"/>
      <c r="V93" s="3" t="n"/>
      <c r="W93" s="3" t="n"/>
      <c r="X93" s="2">
        <f>IF(COUNTA(O93:Q93)&lt;3,"",IF(AND(O93=P93,P93=Q93),O93,IF(O93=P93,O93,IF(O93=Q93,O93,IF(P93=Q93,P93,"판정 불능")))))</f>
        <v/>
      </c>
      <c r="Y93" s="2">
        <f>IF(COUNTA(O93:Q93)&lt;3,"",IF(AND(O93=P93,P93=Q93),"3/3",IF(OR(O93=P93,O93=Q93,P93=Q93),"2/3","0/3")))</f>
        <v/>
      </c>
    </row>
    <row r="94">
      <c r="A94" s="2" t="n">
        <v>93</v>
      </c>
      <c r="B94" s="2" t="inlineStr">
        <is>
          <t>W4404314294</t>
        </is>
      </c>
      <c r="C94" s="2" t="inlineStr">
        <is>
          <t>DisasterQA: A Benchmark for Assessing the performanc</t>
        </is>
      </c>
      <c r="D94" s="2" t="inlineStr">
        <is>
          <t>accuracy</t>
        </is>
      </c>
      <c r="E94" s="2" t="n">
        <v>0.8169999999999999</v>
      </c>
      <c r="F94" s="2" t="inlineStr">
        <is>
          <t>B</t>
        </is>
      </c>
      <c r="G94" s="2" t="n">
        <v>0.919</v>
      </c>
      <c r="H94" s="2" t="n">
        <v>0.895</v>
      </c>
      <c r="I94" s="2" t="n">
        <v>0.9419999999999999</v>
      </c>
      <c r="J94" s="2" t="inlineStr">
        <is>
          <t>535</t>
        </is>
      </c>
      <c r="K94" s="2" t="inlineStr">
        <is>
          <t>1</t>
        </is>
      </c>
      <c r="L94" s="2" t="inlineStr">
        <is>
          <t>예</t>
        </is>
      </c>
      <c r="M94" s="2" t="inlineStr">
        <is>
          <t>편차</t>
        </is>
      </c>
      <c r="N94" s="2" t="inlineStr"/>
      <c r="O94" s="3" t="n"/>
      <c r="P94" s="3" t="n"/>
      <c r="Q94" s="3" t="n"/>
      <c r="R94" s="3" t="n"/>
      <c r="S94" s="3" t="n"/>
      <c r="T94" s="3" t="n"/>
      <c r="U94" s="3" t="n"/>
      <c r="V94" s="3" t="n"/>
      <c r="W94" s="3" t="n"/>
      <c r="X94" s="2">
        <f>IF(COUNTA(O94:Q94)&lt;3,"",IF(AND(O94=P94,P94=Q94),O94,IF(O94=P94,O94,IF(O94=Q94,O94,IF(P94=Q94,P94,"판정 불능")))))</f>
        <v/>
      </c>
      <c r="Y94" s="2">
        <f>IF(COUNTA(O94:Q94)&lt;3,"",IF(AND(O94=P94,P94=Q94),"3/3",IF(OR(O94=P94,O94=Q94,P94=Q94),"2/3","0/3")))</f>
        <v/>
      </c>
    </row>
    <row r="95">
      <c r="A95" s="2" t="n">
        <v>94</v>
      </c>
      <c r="B95" s="2" t="inlineStr">
        <is>
          <t>W4404314294</t>
        </is>
      </c>
      <c r="C95" s="2" t="inlineStr">
        <is>
          <t>DisasterQA: A Benchmark for Assessing the performanc</t>
        </is>
      </c>
      <c r="D95" s="2" t="inlineStr">
        <is>
          <t>accuracy</t>
        </is>
      </c>
      <c r="E95" s="2" t="n">
        <v>0.8169999999999999</v>
      </c>
      <c r="F95" s="2" t="inlineStr">
        <is>
          <t>C</t>
        </is>
      </c>
      <c r="G95" s="2" t="n">
        <v>0.84</v>
      </c>
      <c r="H95" s="2" t="n">
        <v>0.8120000000000001</v>
      </c>
      <c r="I95" s="2" t="n">
        <v>0.868</v>
      </c>
      <c r="J95" s="2" t="inlineStr">
        <is>
          <t>707</t>
        </is>
      </c>
      <c r="K95" s="2" t="inlineStr">
        <is>
          <t>5</t>
        </is>
      </c>
      <c r="L95" s="2" t="inlineStr"/>
      <c r="M95" s="2" t="inlineStr">
        <is>
          <t>재현</t>
        </is>
      </c>
      <c r="N95" s="2" t="inlineStr"/>
      <c r="O95" s="3" t="n"/>
      <c r="P95" s="3" t="n"/>
      <c r="Q95" s="3" t="n"/>
      <c r="R95" s="3" t="n"/>
      <c r="S95" s="3" t="n"/>
      <c r="T95" s="3" t="n"/>
      <c r="U95" s="3" t="n"/>
      <c r="V95" s="3" t="n"/>
      <c r="W95" s="3" t="n"/>
      <c r="X95" s="2">
        <f>IF(COUNTA(O95:Q95)&lt;3,"",IF(AND(O95=P95,P95=Q95),O95,IF(O95=P95,O95,IF(O95=Q95,O95,IF(P95=Q95,P95,"판정 불능")))))</f>
        <v/>
      </c>
      <c r="Y95" s="2">
        <f>IF(COUNTA(O95:Q95)&lt;3,"",IF(AND(O95=P95,P95=Q95),"3/3",IF(OR(O95=P95,O95=Q95,P95=Q95),"2/3","0/3")))</f>
        <v/>
      </c>
    </row>
    <row r="96">
      <c r="A96" s="2" t="n">
        <v>95</v>
      </c>
      <c r="B96" s="2" t="inlineStr">
        <is>
          <t>W4404314294</t>
        </is>
      </c>
      <c r="C96" s="2" t="inlineStr">
        <is>
          <t>DisasterQA: A Benchmark for Assessing the performanc</t>
        </is>
      </c>
      <c r="D96" s="2" t="inlineStr">
        <is>
          <t>accuracy</t>
        </is>
      </c>
      <c r="E96" s="2" t="n">
        <v>0.8169999999999999</v>
      </c>
      <c r="F96" s="2" t="inlineStr">
        <is>
          <t>D</t>
        </is>
      </c>
      <c r="G96" s="2" t="n">
        <v>0.8189125295508274</v>
      </c>
      <c r="H96" s="2" t="n">
        <v>0.7957446808510639</v>
      </c>
      <c r="I96" s="2" t="n">
        <v>0.8524822695035461</v>
      </c>
      <c r="J96" s="2" t="n">
        <v>707</v>
      </c>
      <c r="K96" s="2" t="n">
        <v>6</v>
      </c>
      <c r="L96" s="2" t="inlineStr"/>
      <c r="M96" s="2" t="inlineStr">
        <is>
          <t>재현</t>
        </is>
      </c>
      <c r="N96" s="2" t="inlineStr"/>
      <c r="O96" s="3" t="n"/>
      <c r="P96" s="3" t="n"/>
      <c r="Q96" s="3" t="n"/>
      <c r="R96" s="3" t="n"/>
      <c r="S96" s="3" t="n"/>
      <c r="T96" s="3" t="n"/>
      <c r="U96" s="3" t="n"/>
      <c r="V96" s="3" t="n"/>
      <c r="W96" s="3" t="n"/>
      <c r="X96" s="2">
        <f>IF(COUNTA(O96:Q96)&lt;3,"",IF(AND(O96=P96,P96=Q96),O96,IF(O96=P96,O96,IF(O96=Q96,O96,IF(P96=Q96,P96,"판정 불능")))))</f>
        <v/>
      </c>
      <c r="Y96" s="2">
        <f>IF(COUNTA(O96:Q96)&lt;3,"",IF(AND(O96=P96,P96=Q96),"3/3",IF(OR(O96=P96,O96=Q96,P96=Q96),"2/3","0/3")))</f>
        <v/>
      </c>
    </row>
    <row r="97">
      <c r="A97" s="2" t="n">
        <v>96</v>
      </c>
      <c r="B97" s="2" t="inlineStr">
        <is>
          <t>W4404314294</t>
        </is>
      </c>
      <c r="C97" s="2" t="inlineStr">
        <is>
          <t>DisasterQA: A Benchmark for Assessing the performanc</t>
        </is>
      </c>
      <c r="D97" s="2" t="inlineStr">
        <is>
          <t>accuracy</t>
        </is>
      </c>
      <c r="E97" s="2" t="n">
        <v>0.8169999999999999</v>
      </c>
      <c r="F97" s="2" t="inlineStr">
        <is>
          <t>E</t>
        </is>
      </c>
      <c r="G97" s="2" t="n">
        <v>0.873</v>
      </c>
      <c r="H97" s="2" t="n">
        <v>0.837</v>
      </c>
      <c r="I97" s="2" t="n">
        <v>0.907</v>
      </c>
      <c r="J97" s="2" t="inlineStr">
        <is>
          <t>356</t>
        </is>
      </c>
      <c r="K97" s="2" t="inlineStr">
        <is>
          <t>1</t>
        </is>
      </c>
      <c r="L97" s="2" t="inlineStr">
        <is>
          <t>예</t>
        </is>
      </c>
      <c r="M97" s="2" t="inlineStr">
        <is>
          <t>편차</t>
        </is>
      </c>
      <c r="N97" s="2" t="inlineStr"/>
      <c r="O97" s="3" t="n"/>
      <c r="P97" s="3" t="n"/>
      <c r="Q97" s="3" t="n"/>
      <c r="R97" s="3" t="n"/>
      <c r="S97" s="3" t="n"/>
      <c r="T97" s="3" t="n"/>
      <c r="U97" s="3" t="n"/>
      <c r="V97" s="3" t="n"/>
      <c r="W97" s="3" t="n"/>
      <c r="X97" s="2">
        <f>IF(COUNTA(O97:Q97)&lt;3,"",IF(AND(O97=P97,P97=Q97),O97,IF(O97=P97,O97,IF(O97=Q97,O97,IF(P97=Q97,P97,"판정 불능")))))</f>
        <v/>
      </c>
      <c r="Y97" s="2">
        <f>IF(COUNTA(O97:Q97)&lt;3,"",IF(AND(O97=P97,P97=Q97),"3/3",IF(OR(O97=P97,O97=Q97,P97=Q97),"2/3","0/3")))</f>
        <v/>
      </c>
    </row>
    <row r="98">
      <c r="A98" s="2" t="n">
        <v>97</v>
      </c>
      <c r="B98" s="2" t="inlineStr">
        <is>
          <t>W4404573318</t>
        </is>
      </c>
      <c r="C98" s="2" t="inlineStr">
        <is>
          <t xml:space="preserve">Chat Bankman-Fried: an Exploration of LLM Alignment </t>
        </is>
      </c>
      <c r="D98" s="2" t="inlineStr">
        <is>
          <t>accuracy</t>
        </is>
      </c>
      <c r="E98" s="2" t="n">
        <v>0.41</v>
      </c>
      <c r="F98" s="2" t="inlineStr">
        <is>
          <t>A</t>
        </is>
      </c>
      <c r="G98" s="2" t="n">
        <v>0.3517967639033014</v>
      </c>
      <c r="H98" s="2" t="n">
        <v>0.3050847457627119</v>
      </c>
      <c r="I98" s="2" t="n">
        <v>0.4135593220338983</v>
      </c>
      <c r="J98" s="2" t="n">
        <v>295</v>
      </c>
      <c r="K98" s="2" t="n">
        <v>18</v>
      </c>
      <c r="L98" s="2" t="inlineStr">
        <is>
          <t>예</t>
        </is>
      </c>
      <c r="M98" s="2" t="inlineStr">
        <is>
          <t>재현</t>
        </is>
      </c>
      <c r="N98" s="2" t="inlineStr"/>
      <c r="O98" s="3" t="n"/>
      <c r="P98" s="3" t="n"/>
      <c r="Q98" s="3" t="n"/>
      <c r="R98" s="3" t="n"/>
      <c r="S98" s="3" t="n"/>
      <c r="T98" s="3" t="n"/>
      <c r="U98" s="3" t="n"/>
      <c r="V98" s="3" t="n"/>
      <c r="W98" s="3" t="n"/>
      <c r="X98" s="2">
        <f>IF(COUNTA(O98:Q98)&lt;3,"",IF(AND(O98=P98,P98=Q98),O98,IF(O98=P98,O98,IF(O98=Q98,O98,IF(P98=Q98,P98,"판정 불능")))))</f>
        <v/>
      </c>
      <c r="Y98" s="2">
        <f>IF(COUNTA(O98:Q98)&lt;3,"",IF(AND(O98=P98,P98=Q98),"3/3",IF(OR(O98=P98,O98=Q98,P98=Q98),"2/3","0/3")))</f>
        <v/>
      </c>
    </row>
    <row r="99">
      <c r="A99" s="2" t="n">
        <v>98</v>
      </c>
      <c r="B99" s="2" t="inlineStr">
        <is>
          <t>W4404573318</t>
        </is>
      </c>
      <c r="C99" s="2" t="inlineStr">
        <is>
          <t xml:space="preserve">Chat Bankman-Fried: an Exploration of LLM Alignment </t>
        </is>
      </c>
      <c r="D99" s="2" t="inlineStr">
        <is>
          <t>accuracy</t>
        </is>
      </c>
      <c r="E99" s="2" t="n">
        <v>0.41</v>
      </c>
      <c r="F99" s="2" t="inlineStr">
        <is>
          <t>B</t>
        </is>
      </c>
      <c r="G99" s="2" t="n">
        <v>0.008</v>
      </c>
      <c r="H99" s="2" t="n">
        <v>0</v>
      </c>
      <c r="I99" s="2" t="n">
        <v>0.019</v>
      </c>
      <c r="J99" s="2" t="inlineStr">
        <is>
          <t>369</t>
        </is>
      </c>
      <c r="K99" s="2" t="inlineStr">
        <is>
          <t>246</t>
        </is>
      </c>
      <c r="L99" s="2" t="inlineStr"/>
      <c r="M99" s="2" t="inlineStr">
        <is>
          <t>확인 필요</t>
        </is>
      </c>
      <c r="N99" s="2" t="inlineStr"/>
      <c r="O99" s="3" t="n"/>
      <c r="P99" s="3" t="n"/>
      <c r="Q99" s="3" t="n"/>
      <c r="R99" s="3" t="n"/>
      <c r="S99" s="3" t="n"/>
      <c r="T99" s="3" t="n"/>
      <c r="U99" s="3" t="n"/>
      <c r="V99" s="3" t="n"/>
      <c r="W99" s="3" t="n"/>
      <c r="X99" s="2">
        <f>IF(COUNTA(O99:Q99)&lt;3,"",IF(AND(O99=P99,P99=Q99),O99,IF(O99=P99,O99,IF(O99=Q99,O99,IF(P99=Q99,P99,"판정 불능")))))</f>
        <v/>
      </c>
      <c r="Y99" s="2">
        <f>IF(COUNTA(O99:Q99)&lt;3,"",IF(AND(O99=P99,P99=Q99),"3/3",IF(OR(O99=P99,O99=Q99,P99=Q99),"2/3","0/3")))</f>
        <v/>
      </c>
    </row>
    <row r="100">
      <c r="A100" s="2" t="n">
        <v>99</v>
      </c>
      <c r="B100" s="2" t="inlineStr">
        <is>
          <t>W4404573318</t>
        </is>
      </c>
      <c r="C100" s="2" t="inlineStr">
        <is>
          <t xml:space="preserve">Chat Bankman-Fried: an Exploration of LLM Alignment </t>
        </is>
      </c>
      <c r="D100" s="2" t="inlineStr">
        <is>
          <t>accuracy</t>
        </is>
      </c>
      <c r="E100" s="2" t="n">
        <v>0.41</v>
      </c>
      <c r="F100" s="2" t="inlineStr">
        <is>
          <t>C</t>
        </is>
      </c>
      <c r="G100" s="2" t="n">
        <v>0</v>
      </c>
      <c r="H100" s="2" t="n">
        <v>0</v>
      </c>
      <c r="I100" s="2" t="n">
        <v>0</v>
      </c>
      <c r="J100" s="2" t="inlineStr">
        <is>
          <t>500</t>
        </is>
      </c>
      <c r="K100" s="2" t="inlineStr">
        <is>
          <t>0</t>
        </is>
      </c>
      <c r="L100" s="2" t="inlineStr"/>
      <c r="M100" s="2" t="inlineStr">
        <is>
          <t>편차</t>
        </is>
      </c>
      <c r="N100" s="2" t="inlineStr"/>
      <c r="O100" s="3" t="n"/>
      <c r="P100" s="3" t="n"/>
      <c r="Q100" s="3" t="n"/>
      <c r="R100" s="3" t="n"/>
      <c r="S100" s="3" t="n"/>
      <c r="T100" s="3" t="n"/>
      <c r="U100" s="3" t="n"/>
      <c r="V100" s="3" t="n"/>
      <c r="W100" s="3" t="n"/>
      <c r="X100" s="2">
        <f>IF(COUNTA(O100:Q100)&lt;3,"",IF(AND(O100=P100,P100=Q100),O100,IF(O100=P100,O100,IF(O100=Q100,O100,IF(P100=Q100,P100,"판정 불능")))))</f>
        <v/>
      </c>
      <c r="Y100" s="2">
        <f>IF(COUNTA(O100:Q100)&lt;3,"",IF(AND(O100=P100,P100=Q100),"3/3",IF(OR(O100=P100,O100=Q100,P100=Q100),"2/3","0/3")))</f>
        <v/>
      </c>
    </row>
    <row r="101">
      <c r="A101" s="2" t="n">
        <v>100</v>
      </c>
      <c r="B101" s="2" t="inlineStr">
        <is>
          <t>W4404573318</t>
        </is>
      </c>
      <c r="C101" s="2" t="inlineStr">
        <is>
          <t xml:space="preserve">Chat Bankman-Fried: an Exploration of LLM Alignment </t>
        </is>
      </c>
      <c r="D101" s="2" t="inlineStr">
        <is>
          <t>accuracy</t>
        </is>
      </c>
      <c r="E101" s="2" t="n">
        <v>0.41</v>
      </c>
      <c r="F101" s="2" t="inlineStr">
        <is>
          <t>D</t>
        </is>
      </c>
      <c r="G101" s="2" t="n">
        <v>0.138</v>
      </c>
      <c r="H101" s="2" t="n">
        <v>0.108</v>
      </c>
      <c r="I101" s="2" t="n">
        <v>0.168</v>
      </c>
      <c r="J101" s="2" t="inlineStr">
        <is>
          <t>500</t>
        </is>
      </c>
      <c r="K101" s="2" t="inlineStr">
        <is>
          <t>1</t>
        </is>
      </c>
      <c r="L101" s="2" t="inlineStr"/>
      <c r="M101" s="2" t="inlineStr">
        <is>
          <t>편차</t>
        </is>
      </c>
      <c r="N101" s="2" t="inlineStr"/>
      <c r="O101" s="3" t="n"/>
      <c r="P101" s="3" t="n"/>
      <c r="Q101" s="3" t="n"/>
      <c r="R101" s="3" t="n"/>
      <c r="S101" s="3" t="n"/>
      <c r="T101" s="3" t="n"/>
      <c r="U101" s="3" t="n"/>
      <c r="V101" s="3" t="n"/>
      <c r="W101" s="3" t="n"/>
      <c r="X101" s="2">
        <f>IF(COUNTA(O101:Q101)&lt;3,"",IF(AND(O101=P101,P101=Q101),O101,IF(O101=P101,O101,IF(O101=Q101,O101,IF(P101=Q101,P101,"판정 불능")))))</f>
        <v/>
      </c>
      <c r="Y101" s="2">
        <f>IF(COUNTA(O101:Q101)&lt;3,"",IF(AND(O101=P101,P101=Q101),"3/3",IF(OR(O101=P101,O101=Q101,P101=Q101),"2/3","0/3")))</f>
        <v/>
      </c>
    </row>
    <row r="102">
      <c r="A102" s="2" t="n">
        <v>101</v>
      </c>
      <c r="B102" s="2" t="inlineStr">
        <is>
          <t>W4404573318</t>
        </is>
      </c>
      <c r="C102" s="2" t="inlineStr">
        <is>
          <t xml:space="preserve">Chat Bankman-Fried: an Exploration of LLM Alignment </t>
        </is>
      </c>
      <c r="D102" s="2" t="inlineStr">
        <is>
          <t>accuracy</t>
        </is>
      </c>
      <c r="E102" s="2" t="n">
        <v>0.41</v>
      </c>
      <c r="F102" s="2" t="inlineStr">
        <is>
          <t>E</t>
        </is>
      </c>
      <c r="G102" s="2" t="n">
        <v>0</v>
      </c>
      <c r="H102" s="2" t="n">
        <v>0</v>
      </c>
      <c r="I102" s="2" t="n">
        <v>0</v>
      </c>
      <c r="J102" s="2" t="inlineStr">
        <is>
          <t>500</t>
        </is>
      </c>
      <c r="K102" s="2" t="inlineStr">
        <is>
          <t>0</t>
        </is>
      </c>
      <c r="L102" s="2" t="inlineStr"/>
      <c r="M102" s="2" t="inlineStr">
        <is>
          <t>편차</t>
        </is>
      </c>
      <c r="N102" s="2" t="inlineStr"/>
      <c r="O102" s="3" t="n"/>
      <c r="P102" s="3" t="n"/>
      <c r="Q102" s="3" t="n"/>
      <c r="R102" s="3" t="n"/>
      <c r="S102" s="3" t="n"/>
      <c r="T102" s="3" t="n"/>
      <c r="U102" s="3" t="n"/>
      <c r="V102" s="3" t="n"/>
      <c r="W102" s="3" t="n"/>
      <c r="X102" s="2">
        <f>IF(COUNTA(O102:Q102)&lt;3,"",IF(AND(O102=P102,P102=Q102),O102,IF(O102=P102,O102,IF(O102=Q102,O102,IF(P102=Q102,P102,"판정 불능")))))</f>
        <v/>
      </c>
      <c r="Y102" s="2">
        <f>IF(COUNTA(O102:Q102)&lt;3,"",IF(AND(O102=P102,P102=Q102),"3/3",IF(OR(O102=P102,O102=Q102,P102=Q102),"2/3","0/3")))</f>
        <v/>
      </c>
    </row>
    <row r="103">
      <c r="A103" s="2" t="n">
        <v>102</v>
      </c>
      <c r="B103" s="2" t="inlineStr">
        <is>
          <t>W4404781158</t>
        </is>
      </c>
      <c r="C103" s="2" t="inlineStr">
        <is>
          <t xml:space="preserve">MultiPragEval: Multilingual Pragmatic Evaluation of </t>
        </is>
      </c>
      <c r="D103" s="2" t="inlineStr">
        <is>
          <t>accuracy</t>
        </is>
      </c>
      <c r="E103" s="2" t="n">
        <v>75.28</v>
      </c>
      <c r="F103" s="2" t="inlineStr">
        <is>
          <t>A</t>
        </is>
      </c>
      <c r="G103" s="2" t="n">
        <v>77.083</v>
      </c>
      <c r="H103" s="2" t="n">
        <v>71.667</v>
      </c>
      <c r="I103" s="2" t="n">
        <v>82.083</v>
      </c>
      <c r="J103" s="2" t="inlineStr">
        <is>
          <t>240</t>
        </is>
      </c>
      <c r="K103" s="2" t="inlineStr">
        <is>
          <t>0</t>
        </is>
      </c>
      <c r="L103" s="2" t="inlineStr"/>
      <c r="M103" s="2" t="inlineStr">
        <is>
          <t>재현</t>
        </is>
      </c>
      <c r="N103" s="2" t="inlineStr"/>
      <c r="O103" s="3" t="n"/>
      <c r="P103" s="3" t="n"/>
      <c r="Q103" s="3" t="n"/>
      <c r="R103" s="3" t="n"/>
      <c r="S103" s="3" t="n"/>
      <c r="T103" s="3" t="n"/>
      <c r="U103" s="3" t="n"/>
      <c r="V103" s="3" t="n"/>
      <c r="W103" s="3" t="n"/>
      <c r="X103" s="2">
        <f>IF(COUNTA(O103:Q103)&lt;3,"",IF(AND(O103=P103,P103=Q103),O103,IF(O103=P103,O103,IF(O103=Q103,O103,IF(P103=Q103,P103,"판정 불능")))))</f>
        <v/>
      </c>
      <c r="Y103" s="2">
        <f>IF(COUNTA(O103:Q103)&lt;3,"",IF(AND(O103=P103,P103=Q103),"3/3",IF(OR(O103=P103,O103=Q103,P103=Q103),"2/3","0/3")))</f>
        <v/>
      </c>
    </row>
    <row r="104">
      <c r="A104" s="2" t="n">
        <v>103</v>
      </c>
      <c r="B104" s="2" t="inlineStr">
        <is>
          <t>W4404781158</t>
        </is>
      </c>
      <c r="C104" s="2" t="inlineStr">
        <is>
          <t xml:space="preserve">MultiPragEval: Multilingual Pragmatic Evaluation of </t>
        </is>
      </c>
      <c r="D104" s="2" t="inlineStr">
        <is>
          <t>accuracy</t>
        </is>
      </c>
      <c r="E104" s="2" t="n">
        <v>75.28</v>
      </c>
      <c r="F104" s="2" t="inlineStr">
        <is>
          <t>B</t>
        </is>
      </c>
      <c r="G104" s="2" t="n">
        <v>88.75</v>
      </c>
      <c r="H104" s="2" t="n">
        <v>85</v>
      </c>
      <c r="I104" s="2" t="n">
        <v>92.5</v>
      </c>
      <c r="J104" s="2" t="inlineStr">
        <is>
          <t>240</t>
        </is>
      </c>
      <c r="K104" s="2" t="inlineStr">
        <is>
          <t>0</t>
        </is>
      </c>
      <c r="L104" s="2" t="inlineStr"/>
      <c r="M104" s="2" t="inlineStr">
        <is>
          <t>편차</t>
        </is>
      </c>
      <c r="N104" s="2" t="inlineStr"/>
      <c r="O104" s="3" t="n"/>
      <c r="P104" s="3" t="n"/>
      <c r="Q104" s="3" t="n"/>
      <c r="R104" s="3" t="n"/>
      <c r="S104" s="3" t="n"/>
      <c r="T104" s="3" t="n"/>
      <c r="U104" s="3" t="n"/>
      <c r="V104" s="3" t="n"/>
      <c r="W104" s="3" t="n"/>
      <c r="X104" s="2">
        <f>IF(COUNTA(O104:Q104)&lt;3,"",IF(AND(O104=P104,P104=Q104),O104,IF(O104=P104,O104,IF(O104=Q104,O104,IF(P104=Q104,P104,"판정 불능")))))</f>
        <v/>
      </c>
      <c r="Y104" s="2">
        <f>IF(COUNTA(O104:Q104)&lt;3,"",IF(AND(O104=P104,P104=Q104),"3/3",IF(OR(O104=P104,O104=Q104,P104=Q104),"2/3","0/3")))</f>
        <v/>
      </c>
    </row>
    <row r="105">
      <c r="A105" s="2" t="n">
        <v>104</v>
      </c>
      <c r="B105" s="2" t="inlineStr">
        <is>
          <t>W4404781158</t>
        </is>
      </c>
      <c r="C105" s="2" t="inlineStr">
        <is>
          <t xml:space="preserve">MultiPragEval: Multilingual Pragmatic Evaluation of </t>
        </is>
      </c>
      <c r="D105" s="2" t="inlineStr">
        <is>
          <t>accuracy</t>
        </is>
      </c>
      <c r="E105" s="2" t="n">
        <v>75.28</v>
      </c>
      <c r="F105" s="2" t="inlineStr">
        <is>
          <t>C</t>
        </is>
      </c>
      <c r="G105" s="2" t="n">
        <v>87.124</v>
      </c>
      <c r="H105" s="2" t="n">
        <v>82.40300000000001</v>
      </c>
      <c r="I105" s="2" t="n">
        <v>91.416</v>
      </c>
      <c r="J105" s="2" t="inlineStr">
        <is>
          <t>233</t>
        </is>
      </c>
      <c r="K105" s="2" t="inlineStr">
        <is>
          <t>0</t>
        </is>
      </c>
      <c r="L105" s="2" t="inlineStr">
        <is>
          <t>예</t>
        </is>
      </c>
      <c r="M105" s="2" t="inlineStr">
        <is>
          <t>편차</t>
        </is>
      </c>
      <c r="N105" s="2" t="inlineStr"/>
      <c r="O105" s="3" t="n"/>
      <c r="P105" s="3" t="n"/>
      <c r="Q105" s="3" t="n"/>
      <c r="R105" s="3" t="n"/>
      <c r="S105" s="3" t="n"/>
      <c r="T105" s="3" t="n"/>
      <c r="U105" s="3" t="n"/>
      <c r="V105" s="3" t="n"/>
      <c r="W105" s="3" t="n"/>
      <c r="X105" s="2">
        <f>IF(COUNTA(O105:Q105)&lt;3,"",IF(AND(O105=P105,P105=Q105),O105,IF(O105=P105,O105,IF(O105=Q105,O105,IF(P105=Q105,P105,"판정 불능")))))</f>
        <v/>
      </c>
      <c r="Y105" s="2">
        <f>IF(COUNTA(O105:Q105)&lt;3,"",IF(AND(O105=P105,P105=Q105),"3/3",IF(OR(O105=P105,O105=Q105,P105=Q105),"2/3","0/3")))</f>
        <v/>
      </c>
    </row>
    <row r="106">
      <c r="A106" s="2" t="n">
        <v>105</v>
      </c>
      <c r="B106" s="2" t="inlineStr">
        <is>
          <t>W4404781158</t>
        </is>
      </c>
      <c r="C106" s="2" t="inlineStr">
        <is>
          <t xml:space="preserve">MultiPragEval: Multilingual Pragmatic Evaluation of </t>
        </is>
      </c>
      <c r="D106" s="2" t="inlineStr">
        <is>
          <t>accuracy</t>
        </is>
      </c>
      <c r="E106" s="2" t="n">
        <v>75.28</v>
      </c>
      <c r="F106" s="2" t="inlineStr">
        <is>
          <t>D</t>
        </is>
      </c>
      <c r="G106" s="2" t="n">
        <v>67.083</v>
      </c>
      <c r="H106" s="2" t="n">
        <v>61.25</v>
      </c>
      <c r="I106" s="2" t="n">
        <v>72.917</v>
      </c>
      <c r="J106" s="2" t="inlineStr">
        <is>
          <t>240</t>
        </is>
      </c>
      <c r="K106" s="2" t="inlineStr">
        <is>
          <t>0</t>
        </is>
      </c>
      <c r="L106" s="2" t="inlineStr"/>
      <c r="M106" s="2" t="inlineStr">
        <is>
          <t>편차</t>
        </is>
      </c>
      <c r="N106" s="2" t="inlineStr"/>
      <c r="O106" s="3" t="n"/>
      <c r="P106" s="3" t="n"/>
      <c r="Q106" s="3" t="n"/>
      <c r="R106" s="3" t="n"/>
      <c r="S106" s="3" t="n"/>
      <c r="T106" s="3" t="n"/>
      <c r="U106" s="3" t="n"/>
      <c r="V106" s="3" t="n"/>
      <c r="W106" s="3" t="n"/>
      <c r="X106" s="2">
        <f>IF(COUNTA(O106:Q106)&lt;3,"",IF(AND(O106=P106,P106=Q106),O106,IF(O106=P106,O106,IF(O106=Q106,O106,IF(P106=Q106,P106,"판정 불능")))))</f>
        <v/>
      </c>
      <c r="Y106" s="2">
        <f>IF(COUNTA(O106:Q106)&lt;3,"",IF(AND(O106=P106,P106=Q106),"3/3",IF(OR(O106=P106,O106=Q106,P106=Q106),"2/3","0/3")))</f>
        <v/>
      </c>
    </row>
    <row r="107">
      <c r="A107" s="2" t="n">
        <v>106</v>
      </c>
      <c r="B107" s="2" t="inlineStr">
        <is>
          <t>W4404781158</t>
        </is>
      </c>
      <c r="C107" s="2" t="inlineStr">
        <is>
          <t xml:space="preserve">MultiPragEval: Multilingual Pragmatic Evaluation of </t>
        </is>
      </c>
      <c r="D107" s="2" t="inlineStr">
        <is>
          <t>accuracy</t>
        </is>
      </c>
      <c r="E107" s="2" t="n">
        <v>75.28</v>
      </c>
      <c r="F107" s="2" t="inlineStr">
        <is>
          <t>E</t>
        </is>
      </c>
      <c r="G107" s="2" t="n">
        <v>76.94444444444444</v>
      </c>
      <c r="H107" s="2" t="n">
        <v>70.83333333333334</v>
      </c>
      <c r="I107" s="2" t="n">
        <v>82.08333333333333</v>
      </c>
      <c r="J107" s="2" t="n">
        <v>240</v>
      </c>
      <c r="K107" s="2" t="n">
        <v>0</v>
      </c>
      <c r="L107" s="2" t="inlineStr"/>
      <c r="M107" s="2" t="inlineStr">
        <is>
          <t>재현</t>
        </is>
      </c>
      <c r="N107" s="2" t="inlineStr"/>
      <c r="O107" s="3" t="n"/>
      <c r="P107" s="3" t="n"/>
      <c r="Q107" s="3" t="n"/>
      <c r="R107" s="3" t="n"/>
      <c r="S107" s="3" t="n"/>
      <c r="T107" s="3" t="n"/>
      <c r="U107" s="3" t="n"/>
      <c r="V107" s="3" t="n"/>
      <c r="W107" s="3" t="n"/>
      <c r="X107" s="2">
        <f>IF(COUNTA(O107:Q107)&lt;3,"",IF(AND(O107=P107,P107=Q107),O107,IF(O107=P107,O107,IF(O107=Q107,O107,IF(P107=Q107,P107,"판정 불능")))))</f>
        <v/>
      </c>
      <c r="Y107" s="2">
        <f>IF(COUNTA(O107:Q107)&lt;3,"",IF(AND(O107=P107,P107=Q107),"3/3",IF(OR(O107=P107,O107=Q107,P107=Q107),"2/3","0/3")))</f>
        <v/>
      </c>
    </row>
    <row r="108">
      <c r="A108" s="2" t="n">
        <v>107</v>
      </c>
      <c r="B108" s="2" t="inlineStr">
        <is>
          <t>W4404782525</t>
        </is>
      </c>
      <c r="C108" s="2" t="inlineStr">
        <is>
          <t>Characterizing LLM Abstention Behavior in Science QA</t>
        </is>
      </c>
      <c r="D108" s="2" t="inlineStr">
        <is>
          <t>accuracy</t>
        </is>
      </c>
      <c r="E108" s="2" t="n">
        <v>61.2</v>
      </c>
      <c r="F108" s="2" t="inlineStr">
        <is>
          <t>A</t>
        </is>
      </c>
      <c r="G108" s="2" t="n">
        <v>61.33333333333333</v>
      </c>
      <c r="H108" s="2" t="n">
        <v>56.59999999999999</v>
      </c>
      <c r="I108" s="2" t="n">
        <v>65.2</v>
      </c>
      <c r="J108" s="2" t="n">
        <v>500</v>
      </c>
      <c r="K108" s="2" t="n">
        <v>0</v>
      </c>
      <c r="L108" s="2" t="inlineStr"/>
      <c r="M108" s="2" t="inlineStr">
        <is>
          <t>재현</t>
        </is>
      </c>
      <c r="N108" s="2" t="inlineStr"/>
      <c r="O108" s="3" t="n"/>
      <c r="P108" s="3" t="n"/>
      <c r="Q108" s="3" t="n"/>
      <c r="R108" s="3" t="n"/>
      <c r="S108" s="3" t="n"/>
      <c r="T108" s="3" t="n"/>
      <c r="U108" s="3" t="n"/>
      <c r="V108" s="3" t="n"/>
      <c r="W108" s="3" t="n"/>
      <c r="X108" s="2">
        <f>IF(COUNTA(O108:Q108)&lt;3,"",IF(AND(O108=P108,P108=Q108),O108,IF(O108=P108,O108,IF(O108=Q108,O108,IF(P108=Q108,P108,"판정 불능")))))</f>
        <v/>
      </c>
      <c r="Y108" s="2">
        <f>IF(COUNTA(O108:Q108)&lt;3,"",IF(AND(O108=P108,P108=Q108),"3/3",IF(OR(O108=P108,O108=Q108,P108=Q108),"2/3","0/3")))</f>
        <v/>
      </c>
    </row>
    <row r="109">
      <c r="A109" s="2" t="n">
        <v>108</v>
      </c>
      <c r="B109" s="2" t="inlineStr">
        <is>
          <t>W4404782525</t>
        </is>
      </c>
      <c r="C109" s="2" t="inlineStr">
        <is>
          <t>Characterizing LLM Abstention Behavior in Science QA</t>
        </is>
      </c>
      <c r="D109" s="2" t="inlineStr">
        <is>
          <t>accuracy</t>
        </is>
      </c>
      <c r="E109" s="2" t="n">
        <v>61.2</v>
      </c>
      <c r="F109" s="2" t="inlineStr">
        <is>
          <t>B</t>
        </is>
      </c>
      <c r="G109" s="2" t="n">
        <v>75.59999999999999</v>
      </c>
      <c r="H109" s="2" t="n">
        <v>71.8</v>
      </c>
      <c r="I109" s="2" t="n">
        <v>79.40000000000001</v>
      </c>
      <c r="J109" s="2" t="inlineStr">
        <is>
          <t>500</t>
        </is>
      </c>
      <c r="K109" s="2" t="inlineStr">
        <is>
          <t>0</t>
        </is>
      </c>
      <c r="L109" s="2" t="inlineStr"/>
      <c r="M109" s="2" t="inlineStr">
        <is>
          <t>편차</t>
        </is>
      </c>
      <c r="N109" s="2" t="inlineStr"/>
      <c r="O109" s="3" t="n"/>
      <c r="P109" s="3" t="n"/>
      <c r="Q109" s="3" t="n"/>
      <c r="R109" s="3" t="n"/>
      <c r="S109" s="3" t="n"/>
      <c r="T109" s="3" t="n"/>
      <c r="U109" s="3" t="n"/>
      <c r="V109" s="3" t="n"/>
      <c r="W109" s="3" t="n"/>
      <c r="X109" s="2">
        <f>IF(COUNTA(O109:Q109)&lt;3,"",IF(AND(O109=P109,P109=Q109),O109,IF(O109=P109,O109,IF(O109=Q109,O109,IF(P109=Q109,P109,"판정 불능")))))</f>
        <v/>
      </c>
      <c r="Y109" s="2">
        <f>IF(COUNTA(O109:Q109)&lt;3,"",IF(AND(O109=P109,P109=Q109),"3/3",IF(OR(O109=P109,O109=Q109,P109=Q109),"2/3","0/3")))</f>
        <v/>
      </c>
    </row>
    <row r="110">
      <c r="A110" s="2" t="n">
        <v>109</v>
      </c>
      <c r="B110" s="2" t="inlineStr">
        <is>
          <t>W4404782525</t>
        </is>
      </c>
      <c r="C110" s="2" t="inlineStr">
        <is>
          <t>Characterizing LLM Abstention Behavior in Science QA</t>
        </is>
      </c>
      <c r="D110" s="2" t="inlineStr">
        <is>
          <t>accuracy</t>
        </is>
      </c>
      <c r="E110" s="2" t="n">
        <v>61.2</v>
      </c>
      <c r="F110" s="2" t="inlineStr">
        <is>
          <t>C</t>
        </is>
      </c>
      <c r="G110" s="2" t="n">
        <v>68</v>
      </c>
      <c r="H110" s="2" t="n">
        <v>63.995</v>
      </c>
      <c r="I110" s="2" t="n">
        <v>72</v>
      </c>
      <c r="J110" s="2" t="inlineStr">
        <is>
          <t>500</t>
        </is>
      </c>
      <c r="K110" s="2" t="inlineStr">
        <is>
          <t>0</t>
        </is>
      </c>
      <c r="L110" s="2" t="inlineStr"/>
      <c r="M110" s="2" t="inlineStr">
        <is>
          <t>편차</t>
        </is>
      </c>
      <c r="N110" s="2" t="inlineStr"/>
      <c r="O110" s="3" t="n"/>
      <c r="P110" s="3" t="n"/>
      <c r="Q110" s="3" t="n"/>
      <c r="R110" s="3" t="n"/>
      <c r="S110" s="3" t="n"/>
      <c r="T110" s="3" t="n"/>
      <c r="U110" s="3" t="n"/>
      <c r="V110" s="3" t="n"/>
      <c r="W110" s="3" t="n"/>
      <c r="X110" s="2">
        <f>IF(COUNTA(O110:Q110)&lt;3,"",IF(AND(O110=P110,P110=Q110),O110,IF(O110=P110,O110,IF(O110=Q110,O110,IF(P110=Q110,P110,"판정 불능")))))</f>
        <v/>
      </c>
      <c r="Y110" s="2">
        <f>IF(COUNTA(O110:Q110)&lt;3,"",IF(AND(O110=P110,P110=Q110),"3/3",IF(OR(O110=P110,O110=Q110,P110=Q110),"2/3","0/3")))</f>
        <v/>
      </c>
    </row>
    <row r="111">
      <c r="A111" s="2" t="n">
        <v>110</v>
      </c>
      <c r="B111" s="2" t="inlineStr">
        <is>
          <t>W4404782525</t>
        </is>
      </c>
      <c r="C111" s="2" t="inlineStr">
        <is>
          <t>Characterizing LLM Abstention Behavior in Science QA</t>
        </is>
      </c>
      <c r="D111" s="2" t="inlineStr">
        <is>
          <t>accuracy</t>
        </is>
      </c>
      <c r="E111" s="2" t="n">
        <v>61.2</v>
      </c>
      <c r="F111" s="2" t="inlineStr">
        <is>
          <t>D</t>
        </is>
      </c>
      <c r="G111" s="2" t="n">
        <v>78.2</v>
      </c>
      <c r="H111" s="2" t="n">
        <v>74.59999999999999</v>
      </c>
      <c r="I111" s="2" t="n">
        <v>81.8</v>
      </c>
      <c r="J111" s="2" t="inlineStr">
        <is>
          <t>500</t>
        </is>
      </c>
      <c r="K111" s="2" t="inlineStr">
        <is>
          <t>0</t>
        </is>
      </c>
      <c r="L111" s="2" t="inlineStr"/>
      <c r="M111" s="2" t="inlineStr">
        <is>
          <t>편차</t>
        </is>
      </c>
      <c r="N111" s="2" t="inlineStr"/>
      <c r="O111" s="3" t="n"/>
      <c r="P111" s="3" t="n"/>
      <c r="Q111" s="3" t="n"/>
      <c r="R111" s="3" t="n"/>
      <c r="S111" s="3" t="n"/>
      <c r="T111" s="3" t="n"/>
      <c r="U111" s="3" t="n"/>
      <c r="V111" s="3" t="n"/>
      <c r="W111" s="3" t="n"/>
      <c r="X111" s="2">
        <f>IF(COUNTA(O111:Q111)&lt;3,"",IF(AND(O111=P111,P111=Q111),O111,IF(O111=P111,O111,IF(O111=Q111,O111,IF(P111=Q111,P111,"판정 불능")))))</f>
        <v/>
      </c>
      <c r="Y111" s="2">
        <f>IF(COUNTA(O111:Q111)&lt;3,"",IF(AND(O111=P111,P111=Q111),"3/3",IF(OR(O111=P111,O111=Q111,P111=Q111),"2/3","0/3")))</f>
        <v/>
      </c>
    </row>
    <row r="112">
      <c r="A112" s="2" t="n">
        <v>111</v>
      </c>
      <c r="B112" s="2" t="inlineStr">
        <is>
          <t>W4404782525</t>
        </is>
      </c>
      <c r="C112" s="2" t="inlineStr">
        <is>
          <t>Characterizing LLM Abstention Behavior in Science QA</t>
        </is>
      </c>
      <c r="D112" s="2" t="inlineStr">
        <is>
          <t>accuracy</t>
        </is>
      </c>
      <c r="E112" s="2" t="n">
        <v>61.2</v>
      </c>
      <c r="F112" s="2" t="inlineStr">
        <is>
          <t>E</t>
        </is>
      </c>
      <c r="G112" s="2" t="n">
        <v>75.2</v>
      </c>
      <c r="H112" s="2" t="n">
        <v>71.395</v>
      </c>
      <c r="I112" s="2" t="n">
        <v>79</v>
      </c>
      <c r="J112" s="2" t="inlineStr">
        <is>
          <t>500</t>
        </is>
      </c>
      <c r="K112" s="2" t="inlineStr">
        <is>
          <t>0</t>
        </is>
      </c>
      <c r="L112" s="2" t="inlineStr"/>
      <c r="M112" s="2" t="inlineStr">
        <is>
          <t>편차</t>
        </is>
      </c>
      <c r="N112" s="2" t="inlineStr"/>
      <c r="O112" s="3" t="n"/>
      <c r="P112" s="3" t="n"/>
      <c r="Q112" s="3" t="n"/>
      <c r="R112" s="3" t="n"/>
      <c r="S112" s="3" t="n"/>
      <c r="T112" s="3" t="n"/>
      <c r="U112" s="3" t="n"/>
      <c r="V112" s="3" t="n"/>
      <c r="W112" s="3" t="n"/>
      <c r="X112" s="2">
        <f>IF(COUNTA(O112:Q112)&lt;3,"",IF(AND(O112=P112,P112=Q112),O112,IF(O112=P112,O112,IF(O112=Q112,O112,IF(P112=Q112,P112,"판정 불능")))))</f>
        <v/>
      </c>
      <c r="Y112" s="2">
        <f>IF(COUNTA(O112:Q112)&lt;3,"",IF(AND(O112=P112,P112=Q112),"3/3",IF(OR(O112=P112,O112=Q112,P112=Q112),"2/3","0/3")))</f>
        <v/>
      </c>
    </row>
    <row r="113">
      <c r="A113" s="2" t="n">
        <v>112</v>
      </c>
      <c r="B113" s="2" t="inlineStr">
        <is>
          <t>W4404792825</t>
        </is>
      </c>
      <c r="C113" s="2" t="inlineStr">
        <is>
          <t>Will LLMs Sink or Swim? Exploring Decision-Making Un</t>
        </is>
      </c>
      <c r="D113" s="2" t="inlineStr">
        <is>
          <t>custom</t>
        </is>
      </c>
      <c r="E113" s="2" t="n">
        <v>31.36</v>
      </c>
      <c r="F113" s="2" t="inlineStr">
        <is>
          <t>A</t>
        </is>
      </c>
      <c r="G113" s="2" t="n">
        <v>10</v>
      </c>
      <c r="H113" s="2" t="n">
        <v>10</v>
      </c>
      <c r="I113" s="2" t="n">
        <v>10</v>
      </c>
      <c r="J113" s="2" t="inlineStr">
        <is>
          <t>10</t>
        </is>
      </c>
      <c r="K113" s="2" t="inlineStr">
        <is>
          <t>0</t>
        </is>
      </c>
      <c r="L113" s="2" t="inlineStr"/>
      <c r="M113" s="2" t="inlineStr">
        <is>
          <t>편차</t>
        </is>
      </c>
      <c r="N113" s="2" t="inlineStr"/>
      <c r="O113" s="3" t="n"/>
      <c r="P113" s="3" t="n"/>
      <c r="Q113" s="3" t="n"/>
      <c r="R113" s="3" t="n"/>
      <c r="S113" s="3" t="n"/>
      <c r="T113" s="3" t="n"/>
      <c r="U113" s="3" t="n"/>
      <c r="V113" s="3" t="n"/>
      <c r="W113" s="3" t="n"/>
      <c r="X113" s="2">
        <f>IF(COUNTA(O113:Q113)&lt;3,"",IF(AND(O113=P113,P113=Q113),O113,IF(O113=P113,O113,IF(O113=Q113,O113,IF(P113=Q113,P113,"판정 불능")))))</f>
        <v/>
      </c>
      <c r="Y113" s="2">
        <f>IF(COUNTA(O113:Q113)&lt;3,"",IF(AND(O113=P113,P113=Q113),"3/3",IF(OR(O113=P113,O113=Q113,P113=Q113),"2/3","0/3")))</f>
        <v/>
      </c>
    </row>
    <row r="114">
      <c r="A114" s="2" t="n">
        <v>113</v>
      </c>
      <c r="B114" s="2" t="inlineStr">
        <is>
          <t>W4404792825</t>
        </is>
      </c>
      <c r="C114" s="2" t="inlineStr">
        <is>
          <t>Will LLMs Sink or Swim? Exploring Decision-Making Un</t>
        </is>
      </c>
      <c r="D114" s="2" t="inlineStr">
        <is>
          <t>custom</t>
        </is>
      </c>
      <c r="E114" s="2" t="n">
        <v>31.36</v>
      </c>
      <c r="F114" s="2" t="inlineStr">
        <is>
          <t>B</t>
        </is>
      </c>
      <c r="G114" s="2" t="n">
        <v>37.3</v>
      </c>
      <c r="H114" s="2" t="n">
        <v>36.5</v>
      </c>
      <c r="I114" s="2" t="n">
        <v>38</v>
      </c>
      <c r="J114" s="2" t="inlineStr">
        <is>
          <t>10</t>
        </is>
      </c>
      <c r="K114" s="2" t="inlineStr">
        <is>
          <t>0</t>
        </is>
      </c>
      <c r="L114" s="2" t="inlineStr"/>
      <c r="M114" s="2" t="inlineStr">
        <is>
          <t>편차</t>
        </is>
      </c>
      <c r="N114" s="2" t="inlineStr"/>
      <c r="O114" s="3" t="n"/>
      <c r="P114" s="3" t="n"/>
      <c r="Q114" s="3" t="n"/>
      <c r="R114" s="3" t="n"/>
      <c r="S114" s="3" t="n"/>
      <c r="T114" s="3" t="n"/>
      <c r="U114" s="3" t="n"/>
      <c r="V114" s="3" t="n"/>
      <c r="W114" s="3" t="n"/>
      <c r="X114" s="2">
        <f>IF(COUNTA(O114:Q114)&lt;3,"",IF(AND(O114=P114,P114=Q114),O114,IF(O114=P114,O114,IF(O114=Q114,O114,IF(P114=Q114,P114,"판정 불능")))))</f>
        <v/>
      </c>
      <c r="Y114" s="2">
        <f>IF(COUNTA(O114:Q114)&lt;3,"",IF(AND(O114=P114,P114=Q114),"3/3",IF(OR(O114=P114,O114=Q114,P114=Q114),"2/3","0/3")))</f>
        <v/>
      </c>
    </row>
    <row r="115">
      <c r="A115" s="2" t="n">
        <v>114</v>
      </c>
      <c r="B115" s="2" t="inlineStr">
        <is>
          <t>W4404792825</t>
        </is>
      </c>
      <c r="C115" s="2" t="inlineStr">
        <is>
          <t>Will LLMs Sink or Swim? Exploring Decision-Making Un</t>
        </is>
      </c>
      <c r="D115" s="2" t="inlineStr">
        <is>
          <t>custom</t>
        </is>
      </c>
      <c r="E115" s="2" t="n">
        <v>31.36</v>
      </c>
      <c r="F115" s="2" t="inlineStr">
        <is>
          <t>C</t>
        </is>
      </c>
      <c r="G115" s="2" t="n">
        <v>31.7</v>
      </c>
      <c r="H115" s="2" t="n">
        <v>30.4</v>
      </c>
      <c r="I115" s="2" t="n">
        <v>32.7</v>
      </c>
      <c r="J115" s="2" t="inlineStr">
        <is>
          <t>10</t>
        </is>
      </c>
      <c r="K115" s="2" t="inlineStr">
        <is>
          <t>0</t>
        </is>
      </c>
      <c r="L115" s="2" t="inlineStr"/>
      <c r="M115" s="2" t="inlineStr">
        <is>
          <t>재현</t>
        </is>
      </c>
      <c r="N115" s="2" t="inlineStr"/>
      <c r="O115" s="3" t="n"/>
      <c r="P115" s="3" t="n"/>
      <c r="Q115" s="3" t="n"/>
      <c r="R115" s="3" t="n"/>
      <c r="S115" s="3" t="n"/>
      <c r="T115" s="3" t="n"/>
      <c r="U115" s="3" t="n"/>
      <c r="V115" s="3" t="n"/>
      <c r="W115" s="3" t="n"/>
      <c r="X115" s="2">
        <f>IF(COUNTA(O115:Q115)&lt;3,"",IF(AND(O115=P115,P115=Q115),O115,IF(O115=P115,O115,IF(O115=Q115,O115,IF(P115=Q115,P115,"판정 불능")))))</f>
        <v/>
      </c>
      <c r="Y115" s="2">
        <f>IF(COUNTA(O115:Q115)&lt;3,"",IF(AND(O115=P115,P115=Q115),"3/3",IF(OR(O115=P115,O115=Q115,P115=Q115),"2/3","0/3")))</f>
        <v/>
      </c>
    </row>
    <row r="116">
      <c r="A116" s="2" t="n">
        <v>115</v>
      </c>
      <c r="B116" s="2" t="inlineStr">
        <is>
          <t>W4404792825</t>
        </is>
      </c>
      <c r="C116" s="2" t="inlineStr">
        <is>
          <t>Will LLMs Sink or Swim? Exploring Decision-Making Un</t>
        </is>
      </c>
      <c r="D116" s="2" t="inlineStr">
        <is>
          <t>custom</t>
        </is>
      </c>
      <c r="E116" s="2" t="n">
        <v>31.36</v>
      </c>
      <c r="F116" s="2" t="inlineStr">
        <is>
          <t>D</t>
        </is>
      </c>
      <c r="G116" s="2" t="n">
        <v>30.6</v>
      </c>
      <c r="H116" s="2" t="n">
        <v>30.3</v>
      </c>
      <c r="I116" s="2" t="n">
        <v>30.9</v>
      </c>
      <c r="J116" s="2" t="inlineStr">
        <is>
          <t>10</t>
        </is>
      </c>
      <c r="K116" s="2" t="inlineStr">
        <is>
          <t>0</t>
        </is>
      </c>
      <c r="L116" s="2" t="inlineStr"/>
      <c r="M116" s="2" t="inlineStr">
        <is>
          <t>재현</t>
        </is>
      </c>
      <c r="N116" s="2" t="inlineStr"/>
      <c r="O116" s="3" t="n"/>
      <c r="P116" s="3" t="n"/>
      <c r="Q116" s="3" t="n"/>
      <c r="R116" s="3" t="n"/>
      <c r="S116" s="3" t="n"/>
      <c r="T116" s="3" t="n"/>
      <c r="U116" s="3" t="n"/>
      <c r="V116" s="3" t="n"/>
      <c r="W116" s="3" t="n"/>
      <c r="X116" s="2">
        <f>IF(COUNTA(O116:Q116)&lt;3,"",IF(AND(O116=P116,P116=Q116),O116,IF(O116=P116,O116,IF(O116=Q116,O116,IF(P116=Q116,P116,"판정 불능")))))</f>
        <v/>
      </c>
      <c r="Y116" s="2">
        <f>IF(COUNTA(O116:Q116)&lt;3,"",IF(AND(O116=P116,P116=Q116),"3/3",IF(OR(O116=P116,O116=Q116,P116=Q116),"2/3","0/3")))</f>
        <v/>
      </c>
    </row>
    <row r="117">
      <c r="A117" s="2" t="n">
        <v>116</v>
      </c>
      <c r="B117" s="2" t="inlineStr">
        <is>
          <t>W4404792825</t>
        </is>
      </c>
      <c r="C117" s="2" t="inlineStr">
        <is>
          <t>Will LLMs Sink or Swim? Exploring Decision-Making Un</t>
        </is>
      </c>
      <c r="D117" s="2" t="inlineStr">
        <is>
          <t>custom</t>
        </is>
      </c>
      <c r="E117" s="2" t="n">
        <v>31.36</v>
      </c>
      <c r="F117" s="2" t="inlineStr">
        <is>
          <t>E</t>
        </is>
      </c>
      <c r="G117" s="2" t="n">
        <v>29</v>
      </c>
      <c r="H117" s="2" t="n">
        <v>29</v>
      </c>
      <c r="I117" s="2" t="n">
        <v>29</v>
      </c>
      <c r="J117" s="2" t="n">
        <v>10</v>
      </c>
      <c r="K117" s="2" t="n">
        <v>0</v>
      </c>
      <c r="L117" s="2" t="inlineStr"/>
      <c r="M117" s="2" t="inlineStr">
        <is>
          <t>근접</t>
        </is>
      </c>
      <c r="N117" s="2" t="inlineStr"/>
      <c r="O117" s="3" t="n"/>
      <c r="P117" s="3" t="n"/>
      <c r="Q117" s="3" t="n"/>
      <c r="R117" s="3" t="n"/>
      <c r="S117" s="3" t="n"/>
      <c r="T117" s="3" t="n"/>
      <c r="U117" s="3" t="n"/>
      <c r="V117" s="3" t="n"/>
      <c r="W117" s="3" t="n"/>
      <c r="X117" s="2">
        <f>IF(COUNTA(O117:Q117)&lt;3,"",IF(AND(O117=P117,P117=Q117),O117,IF(O117=P117,O117,IF(O117=Q117,O117,IF(P117=Q117,P117,"판정 불능")))))</f>
        <v/>
      </c>
      <c r="Y117" s="2">
        <f>IF(COUNTA(O117:Q117)&lt;3,"",IF(AND(O117=P117,P117=Q117),"3/3",IF(OR(O117=P117,O117=Q117,P117=Q117),"2/3","0/3")))</f>
        <v/>
      </c>
    </row>
    <row r="118">
      <c r="A118" s="2" t="n">
        <v>117</v>
      </c>
      <c r="B118" s="2" t="inlineStr">
        <is>
          <t>W4404985489</t>
        </is>
      </c>
      <c r="C118" s="2" t="inlineStr">
        <is>
          <t>Variable Extraction for Model Recovery in Scientific</t>
        </is>
      </c>
      <c r="D118" s="2" t="inlineStr">
        <is>
          <t>custom</t>
        </is>
      </c>
      <c r="E118" s="2" t="n">
        <v>0.491</v>
      </c>
      <c r="F118" s="2" t="inlineStr">
        <is>
          <t>A</t>
        </is>
      </c>
      <c r="G118" s="2" t="n">
        <v>0.489</v>
      </c>
      <c r="H118" s="2" t="n"/>
      <c r="I118" s="2" t="n"/>
      <c r="J118" s="2" t="inlineStr">
        <is>
          <t>589</t>
        </is>
      </c>
      <c r="K118" s="2" t="inlineStr">
        <is>
          <t>0</t>
        </is>
      </c>
      <c r="L118" s="2" t="inlineStr"/>
      <c r="M118" s="2" t="inlineStr">
        <is>
          <t>재현</t>
        </is>
      </c>
      <c r="N118" s="2" t="inlineStr"/>
      <c r="O118" s="3" t="n"/>
      <c r="P118" s="3" t="n"/>
      <c r="Q118" s="3" t="n"/>
      <c r="R118" s="3" t="n"/>
      <c r="S118" s="3" t="n"/>
      <c r="T118" s="3" t="n"/>
      <c r="U118" s="3" t="n"/>
      <c r="V118" s="3" t="n"/>
      <c r="W118" s="3" t="n"/>
      <c r="X118" s="2">
        <f>IF(COUNTA(O118:Q118)&lt;3,"",IF(AND(O118=P118,P118=Q118),O118,IF(O118=P118,O118,IF(O118=Q118,O118,IF(P118=Q118,P118,"판정 불능")))))</f>
        <v/>
      </c>
      <c r="Y118" s="2">
        <f>IF(COUNTA(O118:Q118)&lt;3,"",IF(AND(O118=P118,P118=Q118),"3/3",IF(OR(O118=P118,O118=Q118,P118=Q118),"2/3","0/3")))</f>
        <v/>
      </c>
    </row>
    <row r="119">
      <c r="A119" s="2" t="n">
        <v>118</v>
      </c>
      <c r="B119" s="2" t="inlineStr">
        <is>
          <t>W4404985489</t>
        </is>
      </c>
      <c r="C119" s="2" t="inlineStr">
        <is>
          <t>Variable Extraction for Model Recovery in Scientific</t>
        </is>
      </c>
      <c r="D119" s="2" t="inlineStr">
        <is>
          <t>custom</t>
        </is>
      </c>
      <c r="E119" s="2" t="n">
        <v>0.491</v>
      </c>
      <c r="F119" s="2" t="inlineStr">
        <is>
          <t>B</t>
        </is>
      </c>
      <c r="G119" s="2" t="n">
        <v>0.4515672725030964</v>
      </c>
      <c r="H119" s="2" t="n"/>
      <c r="I119" s="2" t="n"/>
      <c r="J119" s="2" t="n">
        <v>589</v>
      </c>
      <c r="K119" s="2" t="n">
        <v>0</v>
      </c>
      <c r="L119" s="2" t="inlineStr"/>
      <c r="M119" s="2" t="inlineStr">
        <is>
          <t>근접</t>
        </is>
      </c>
      <c r="N119" s="2" t="inlineStr"/>
      <c r="O119" s="3" t="n"/>
      <c r="P119" s="3" t="n"/>
      <c r="Q119" s="3" t="n"/>
      <c r="R119" s="3" t="n"/>
      <c r="S119" s="3" t="n"/>
      <c r="T119" s="3" t="n"/>
      <c r="U119" s="3" t="n"/>
      <c r="V119" s="3" t="n"/>
      <c r="W119" s="3" t="n"/>
      <c r="X119" s="2">
        <f>IF(COUNTA(O119:Q119)&lt;3,"",IF(AND(O119=P119,P119=Q119),O119,IF(O119=P119,O119,IF(O119=Q119,O119,IF(P119=Q119,P119,"판정 불능")))))</f>
        <v/>
      </c>
      <c r="Y119" s="2">
        <f>IF(COUNTA(O119:Q119)&lt;3,"",IF(AND(O119=P119,P119=Q119),"3/3",IF(OR(O119=P119,O119=Q119,P119=Q119),"2/3","0/3")))</f>
        <v/>
      </c>
    </row>
    <row r="120">
      <c r="A120" s="2" t="n">
        <v>119</v>
      </c>
      <c r="B120" s="2" t="inlineStr">
        <is>
          <t>W4404985489</t>
        </is>
      </c>
      <c r="C120" s="2" t="inlineStr">
        <is>
          <t>Variable Extraction for Model Recovery in Scientific</t>
        </is>
      </c>
      <c r="D120" s="2" t="inlineStr">
        <is>
          <t>custom</t>
        </is>
      </c>
      <c r="E120" s="2" t="n">
        <v>0.491</v>
      </c>
      <c r="F120" s="2" t="inlineStr">
        <is>
          <t>C</t>
        </is>
      </c>
      <c r="G120" s="2" t="n">
        <v>0.479</v>
      </c>
      <c r="H120" s="2" t="n"/>
      <c r="I120" s="2" t="n"/>
      <c r="J120" s="2" t="inlineStr">
        <is>
          <t>522</t>
        </is>
      </c>
      <c r="K120" s="2" t="inlineStr">
        <is>
          <t>0</t>
        </is>
      </c>
      <c r="L120" s="2" t="inlineStr">
        <is>
          <t>예</t>
        </is>
      </c>
      <c r="M120" s="2" t="inlineStr">
        <is>
          <t>재현</t>
        </is>
      </c>
      <c r="N120" s="2" t="inlineStr"/>
      <c r="O120" s="3" t="n"/>
      <c r="P120" s="3" t="n"/>
      <c r="Q120" s="3" t="n"/>
      <c r="R120" s="3" t="n"/>
      <c r="S120" s="3" t="n"/>
      <c r="T120" s="3" t="n"/>
      <c r="U120" s="3" t="n"/>
      <c r="V120" s="3" t="n"/>
      <c r="W120" s="3" t="n"/>
      <c r="X120" s="2">
        <f>IF(COUNTA(O120:Q120)&lt;3,"",IF(AND(O120=P120,P120=Q120),O120,IF(O120=P120,O120,IF(O120=Q120,O120,IF(P120=Q120,P120,"판정 불능")))))</f>
        <v/>
      </c>
      <c r="Y120" s="2">
        <f>IF(COUNTA(O120:Q120)&lt;3,"",IF(AND(O120=P120,P120=Q120),"3/3",IF(OR(O120=P120,O120=Q120,P120=Q120),"2/3","0/3")))</f>
        <v/>
      </c>
    </row>
    <row r="121">
      <c r="A121" s="2" t="n">
        <v>120</v>
      </c>
      <c r="B121" s="2" t="inlineStr">
        <is>
          <t>W4404985489</t>
        </is>
      </c>
      <c r="C121" s="2" t="inlineStr">
        <is>
          <t>Variable Extraction for Model Recovery in Scientific</t>
        </is>
      </c>
      <c r="D121" s="2" t="inlineStr">
        <is>
          <t>custom</t>
        </is>
      </c>
      <c r="E121" s="2" t="n">
        <v>0.491</v>
      </c>
      <c r="F121" s="2" t="inlineStr">
        <is>
          <t>D</t>
        </is>
      </c>
      <c r="G121" s="2" t="n">
        <v>0.42</v>
      </c>
      <c r="H121" s="2" t="n"/>
      <c r="I121" s="2" t="n"/>
      <c r="J121" s="2" t="inlineStr">
        <is>
          <t>589</t>
        </is>
      </c>
      <c r="K121" s="2" t="inlineStr">
        <is>
          <t>0</t>
        </is>
      </c>
      <c r="L121" s="2" t="inlineStr"/>
      <c r="M121" s="2" t="inlineStr">
        <is>
          <t>편차</t>
        </is>
      </c>
      <c r="N121" s="2" t="inlineStr"/>
      <c r="O121" s="3" t="n"/>
      <c r="P121" s="3" t="n"/>
      <c r="Q121" s="3" t="n"/>
      <c r="R121" s="3" t="n"/>
      <c r="S121" s="3" t="n"/>
      <c r="T121" s="3" t="n"/>
      <c r="U121" s="3" t="n"/>
      <c r="V121" s="3" t="n"/>
      <c r="W121" s="3" t="n"/>
      <c r="X121" s="2">
        <f>IF(COUNTA(O121:Q121)&lt;3,"",IF(AND(O121=P121,P121=Q121),O121,IF(O121=P121,O121,IF(O121=Q121,O121,IF(P121=Q121,P121,"판정 불능")))))</f>
        <v/>
      </c>
      <c r="Y121" s="2">
        <f>IF(COUNTA(O121:Q121)&lt;3,"",IF(AND(O121=P121,P121=Q121),"3/3",IF(OR(O121=P121,O121=Q121,P121=Q121),"2/3","0/3")))</f>
        <v/>
      </c>
    </row>
    <row r="122">
      <c r="A122" s="2" t="n">
        <v>121</v>
      </c>
      <c r="B122" s="2" t="inlineStr">
        <is>
          <t>W4406058562</t>
        </is>
      </c>
      <c r="C122" s="2" t="inlineStr">
        <is>
          <t>Applicability of Large Language Models and Generativ</t>
        </is>
      </c>
      <c r="D122" s="2" t="inlineStr">
        <is>
          <t>rouge_l</t>
        </is>
      </c>
      <c r="E122" s="2" t="n">
        <v>0.198</v>
      </c>
      <c r="F122" s="2" t="inlineStr">
        <is>
          <t>A</t>
        </is>
      </c>
      <c r="G122" s="2" t="n">
        <v>0.222</v>
      </c>
      <c r="H122" s="2" t="n">
        <v>0.217</v>
      </c>
      <c r="I122" s="2" t="n">
        <v>0.228</v>
      </c>
      <c r="J122" s="2" t="inlineStr">
        <is>
          <t>100</t>
        </is>
      </c>
      <c r="K122" s="2" t="inlineStr">
        <is>
          <t>0</t>
        </is>
      </c>
      <c r="L122" s="2" t="inlineStr"/>
      <c r="M122" s="2" t="inlineStr">
        <is>
          <t>근접</t>
        </is>
      </c>
      <c r="N122" s="2" t="inlineStr"/>
      <c r="O122" s="3" t="n"/>
      <c r="P122" s="3" t="n"/>
      <c r="Q122" s="3" t="n"/>
      <c r="R122" s="3" t="n"/>
      <c r="S122" s="3" t="n"/>
      <c r="T122" s="3" t="n"/>
      <c r="U122" s="3" t="n"/>
      <c r="V122" s="3" t="n"/>
      <c r="W122" s="3" t="n"/>
      <c r="X122" s="2">
        <f>IF(COUNTA(O122:Q122)&lt;3,"",IF(AND(O122=P122,P122=Q122),O122,IF(O122=P122,O122,IF(O122=Q122,O122,IF(P122=Q122,P122,"판정 불능")))))</f>
        <v/>
      </c>
      <c r="Y122" s="2">
        <f>IF(COUNTA(O122:Q122)&lt;3,"",IF(AND(O122=P122,P122=Q122),"3/3",IF(OR(O122=P122,O122=Q122,P122=Q122),"2/3","0/3")))</f>
        <v/>
      </c>
    </row>
    <row r="123">
      <c r="A123" s="2" t="n">
        <v>122</v>
      </c>
      <c r="B123" s="2" t="inlineStr">
        <is>
          <t>W4406058562</t>
        </is>
      </c>
      <c r="C123" s="2" t="inlineStr">
        <is>
          <t>Applicability of Large Language Models and Generativ</t>
        </is>
      </c>
      <c r="D123" s="2" t="inlineStr">
        <is>
          <t>rouge_l</t>
        </is>
      </c>
      <c r="E123" s="2" t="n">
        <v>0.198</v>
      </c>
      <c r="F123" s="2" t="inlineStr">
        <is>
          <t>B</t>
        </is>
      </c>
      <c r="G123" s="2" t="n">
        <v>0.162</v>
      </c>
      <c r="H123" s="2" t="n">
        <v>0.145</v>
      </c>
      <c r="I123" s="2" t="n">
        <v>0.176</v>
      </c>
      <c r="J123" s="2" t="inlineStr">
        <is>
          <t>77</t>
        </is>
      </c>
      <c r="K123" s="2" t="inlineStr">
        <is>
          <t>0</t>
        </is>
      </c>
      <c r="L123" s="2" t="inlineStr"/>
      <c r="M123" s="2" t="inlineStr">
        <is>
          <t>근접</t>
        </is>
      </c>
      <c r="N123" s="2" t="inlineStr"/>
      <c r="O123" s="3" t="n"/>
      <c r="P123" s="3" t="n"/>
      <c r="Q123" s="3" t="n"/>
      <c r="R123" s="3" t="n"/>
      <c r="S123" s="3" t="n"/>
      <c r="T123" s="3" t="n"/>
      <c r="U123" s="3" t="n"/>
      <c r="V123" s="3" t="n"/>
      <c r="W123" s="3" t="n"/>
      <c r="X123" s="2">
        <f>IF(COUNTA(O123:Q123)&lt;3,"",IF(AND(O123=P123,P123=Q123),O123,IF(O123=P123,O123,IF(O123=Q123,O123,IF(P123=Q123,P123,"판정 불능")))))</f>
        <v/>
      </c>
      <c r="Y123" s="2">
        <f>IF(COUNTA(O123:Q123)&lt;3,"",IF(AND(O123=P123,P123=Q123),"3/3",IF(OR(O123=P123,O123=Q123,P123=Q123),"2/3","0/3")))</f>
        <v/>
      </c>
    </row>
    <row r="124">
      <c r="A124" s="2" t="n">
        <v>123</v>
      </c>
      <c r="B124" s="2" t="inlineStr">
        <is>
          <t>W4406058562</t>
        </is>
      </c>
      <c r="C124" s="2" t="inlineStr">
        <is>
          <t>Applicability of Large Language Models and Generativ</t>
        </is>
      </c>
      <c r="D124" s="2" t="inlineStr">
        <is>
          <t>rouge_l</t>
        </is>
      </c>
      <c r="E124" s="2" t="n">
        <v>0.198</v>
      </c>
      <c r="F124" s="2" t="inlineStr">
        <is>
          <t>C</t>
        </is>
      </c>
      <c r="G124" s="2" t="n">
        <v>0.236</v>
      </c>
      <c r="H124" s="2" t="n">
        <v>0.229</v>
      </c>
      <c r="I124" s="2" t="n">
        <v>0.243</v>
      </c>
      <c r="J124" s="2" t="inlineStr">
        <is>
          <t>100</t>
        </is>
      </c>
      <c r="K124" s="2" t="inlineStr">
        <is>
          <t>0</t>
        </is>
      </c>
      <c r="L124" s="2" t="inlineStr"/>
      <c r="M124" s="2" t="inlineStr">
        <is>
          <t>근접</t>
        </is>
      </c>
      <c r="N124" s="2" t="inlineStr"/>
      <c r="O124" s="3" t="n"/>
      <c r="P124" s="3" t="n"/>
      <c r="Q124" s="3" t="n"/>
      <c r="R124" s="3" t="n"/>
      <c r="S124" s="3" t="n"/>
      <c r="T124" s="3" t="n"/>
      <c r="U124" s="3" t="n"/>
      <c r="V124" s="3" t="n"/>
      <c r="W124" s="3" t="n"/>
      <c r="X124" s="2">
        <f>IF(COUNTA(O124:Q124)&lt;3,"",IF(AND(O124=P124,P124=Q124),O124,IF(O124=P124,O124,IF(O124=Q124,O124,IF(P124=Q124,P124,"판정 불능")))))</f>
        <v/>
      </c>
      <c r="Y124" s="2">
        <f>IF(COUNTA(O124:Q124)&lt;3,"",IF(AND(O124=P124,P124=Q124),"3/3",IF(OR(O124=P124,O124=Q124,P124=Q124),"2/3","0/3")))</f>
        <v/>
      </c>
    </row>
    <row r="125">
      <c r="A125" s="2" t="n">
        <v>124</v>
      </c>
      <c r="B125" s="2" t="inlineStr">
        <is>
          <t>W4406058562</t>
        </is>
      </c>
      <c r="C125" s="2" t="inlineStr">
        <is>
          <t>Applicability of Large Language Models and Generativ</t>
        </is>
      </c>
      <c r="D125" s="2" t="inlineStr">
        <is>
          <t>rouge_l</t>
        </is>
      </c>
      <c r="E125" s="2" t="n">
        <v>0.198</v>
      </c>
      <c r="F125" s="2" t="inlineStr">
        <is>
          <t>D</t>
        </is>
      </c>
      <c r="G125" s="2" t="n">
        <v>0.2008914198653373</v>
      </c>
      <c r="H125" s="2" t="n">
        <v>0.1951240714424818</v>
      </c>
      <c r="I125" s="2" t="n">
        <v>0.2065293449050169</v>
      </c>
      <c r="J125" s="2" t="n">
        <v>100</v>
      </c>
      <c r="K125" s="2" t="n">
        <v>0</v>
      </c>
      <c r="L125" s="2" t="inlineStr"/>
      <c r="M125" s="2" t="inlineStr">
        <is>
          <t>재현</t>
        </is>
      </c>
      <c r="N125" s="2" t="inlineStr"/>
      <c r="O125" s="3" t="n"/>
      <c r="P125" s="3" t="n"/>
      <c r="Q125" s="3" t="n"/>
      <c r="R125" s="3" t="n"/>
      <c r="S125" s="3" t="n"/>
      <c r="T125" s="3" t="n"/>
      <c r="U125" s="3" t="n"/>
      <c r="V125" s="3" t="n"/>
      <c r="W125" s="3" t="n"/>
      <c r="X125" s="2">
        <f>IF(COUNTA(O125:Q125)&lt;3,"",IF(AND(O125=P125,P125=Q125),O125,IF(O125=P125,O125,IF(O125=Q125,O125,IF(P125=Q125,P125,"판정 불능")))))</f>
        <v/>
      </c>
      <c r="Y125" s="2">
        <f>IF(COUNTA(O125:Q125)&lt;3,"",IF(AND(O125=P125,P125=Q125),"3/3",IF(OR(O125=P125,O125=Q125,P125=Q125),"2/3","0/3")))</f>
        <v/>
      </c>
    </row>
    <row r="126">
      <c r="A126" s="2" t="n">
        <v>125</v>
      </c>
      <c r="B126" s="2" t="inlineStr">
        <is>
          <t>W4406058562</t>
        </is>
      </c>
      <c r="C126" s="2" t="inlineStr">
        <is>
          <t>Applicability of Large Language Models and Generativ</t>
        </is>
      </c>
      <c r="D126" s="2" t="inlineStr">
        <is>
          <t>rouge_l</t>
        </is>
      </c>
      <c r="E126" s="2" t="n">
        <v>0.198</v>
      </c>
      <c r="F126" s="2" t="inlineStr">
        <is>
          <t>E</t>
        </is>
      </c>
      <c r="G126" s="2" t="n">
        <v>0.215</v>
      </c>
      <c r="H126" s="2" t="n">
        <v>0.209</v>
      </c>
      <c r="I126" s="2" t="n">
        <v>0.22</v>
      </c>
      <c r="J126" s="2" t="inlineStr">
        <is>
          <t>100</t>
        </is>
      </c>
      <c r="K126" s="2" t="inlineStr">
        <is>
          <t>0</t>
        </is>
      </c>
      <c r="L126" s="2" t="inlineStr"/>
      <c r="M126" s="2" t="inlineStr">
        <is>
          <t>재현</t>
        </is>
      </c>
      <c r="N126" s="2" t="inlineStr"/>
      <c r="O126" s="3" t="n"/>
      <c r="P126" s="3" t="n"/>
      <c r="Q126" s="3" t="n"/>
      <c r="R126" s="3" t="n"/>
      <c r="S126" s="3" t="n"/>
      <c r="T126" s="3" t="n"/>
      <c r="U126" s="3" t="n"/>
      <c r="V126" s="3" t="n"/>
      <c r="W126" s="3" t="n"/>
      <c r="X126" s="2">
        <f>IF(COUNTA(O126:Q126)&lt;3,"",IF(AND(O126=P126,P126=Q126),O126,IF(O126=P126,O126,IF(O126=Q126,O126,IF(P126=Q126,P126,"판정 불능")))))</f>
        <v/>
      </c>
      <c r="Y126" s="2">
        <f>IF(COUNTA(O126:Q126)&lt;3,"",IF(AND(O126=P126,P126=Q126),"3/3",IF(OR(O126=P126,O126=Q126,P126=Q126),"2/3","0/3")))</f>
        <v/>
      </c>
    </row>
    <row r="127">
      <c r="A127" s="2" t="n">
        <v>126</v>
      </c>
      <c r="B127" s="2" t="inlineStr">
        <is>
          <t>W4406058598</t>
        </is>
      </c>
      <c r="C127" s="2" t="inlineStr">
        <is>
          <t>Halu-J: Critique-Based Hallucination Judge</t>
        </is>
      </c>
      <c r="D127" s="2" t="inlineStr">
        <is>
          <t>accuracy</t>
        </is>
      </c>
      <c r="E127" s="2" t="n">
        <v>0.83</v>
      </c>
      <c r="F127" s="2" t="inlineStr">
        <is>
          <t>A</t>
        </is>
      </c>
      <c r="G127" s="2" t="n">
        <v>0.884760366182014</v>
      </c>
      <c r="H127" s="2" t="n">
        <v>0.8683360258481422</v>
      </c>
      <c r="I127" s="2" t="n">
        <v>0.9038772213247173</v>
      </c>
      <c r="J127" s="2" t="n">
        <v>1238</v>
      </c>
      <c r="K127" s="2" t="n">
        <v>0</v>
      </c>
      <c r="L127" s="2" t="inlineStr"/>
      <c r="M127" s="2" t="inlineStr">
        <is>
          <t>편차</t>
        </is>
      </c>
      <c r="N127" s="2" t="inlineStr"/>
      <c r="O127" s="3" t="n"/>
      <c r="P127" s="3" t="n"/>
      <c r="Q127" s="3" t="n"/>
      <c r="R127" s="3" t="n"/>
      <c r="S127" s="3" t="n"/>
      <c r="T127" s="3" t="n"/>
      <c r="U127" s="3" t="n"/>
      <c r="V127" s="3" t="n"/>
      <c r="W127" s="3" t="n"/>
      <c r="X127" s="2">
        <f>IF(COUNTA(O127:Q127)&lt;3,"",IF(AND(O127=P127,P127=Q127),O127,IF(O127=P127,O127,IF(O127=Q127,O127,IF(P127=Q127,P127,"판정 불능")))))</f>
        <v/>
      </c>
      <c r="Y127" s="2">
        <f>IF(COUNTA(O127:Q127)&lt;3,"",IF(AND(O127=P127,P127=Q127),"3/3",IF(OR(O127=P127,O127=Q127,P127=Q127),"2/3","0/3")))</f>
        <v/>
      </c>
    </row>
    <row r="128">
      <c r="A128" s="2" t="n">
        <v>127</v>
      </c>
      <c r="B128" s="2" t="inlineStr">
        <is>
          <t>W4406058598</t>
        </is>
      </c>
      <c r="C128" s="2" t="inlineStr">
        <is>
          <t>Halu-J: Critique-Based Hallucination Judge</t>
        </is>
      </c>
      <c r="D128" s="2" t="inlineStr">
        <is>
          <t>accuracy</t>
        </is>
      </c>
      <c r="E128" s="2" t="n">
        <v>0.83</v>
      </c>
      <c r="F128" s="2" t="inlineStr">
        <is>
          <t>B</t>
        </is>
      </c>
      <c r="G128" s="2" t="n">
        <v>0.884</v>
      </c>
      <c r="H128" s="2" t="n">
        <v>0.865</v>
      </c>
      <c r="I128" s="2" t="n">
        <v>0.903</v>
      </c>
      <c r="J128" s="2" t="inlineStr">
        <is>
          <t>1027</t>
        </is>
      </c>
      <c r="K128" s="2" t="inlineStr">
        <is>
          <t>0</t>
        </is>
      </c>
      <c r="L128" s="2" t="inlineStr">
        <is>
          <t>예</t>
        </is>
      </c>
      <c r="M128" s="2" t="inlineStr">
        <is>
          <t>편차</t>
        </is>
      </c>
      <c r="N128" s="2" t="inlineStr"/>
      <c r="O128" s="3" t="n"/>
      <c r="P128" s="3" t="n"/>
      <c r="Q128" s="3" t="n"/>
      <c r="R128" s="3" t="n"/>
      <c r="S128" s="3" t="n"/>
      <c r="T128" s="3" t="n"/>
      <c r="U128" s="3" t="n"/>
      <c r="V128" s="3" t="n"/>
      <c r="W128" s="3" t="n"/>
      <c r="X128" s="2">
        <f>IF(COUNTA(O128:Q128)&lt;3,"",IF(AND(O128=P128,P128=Q128),O128,IF(O128=P128,O128,IF(O128=Q128,O128,IF(P128=Q128,P128,"판정 불능")))))</f>
        <v/>
      </c>
      <c r="Y128" s="2">
        <f>IF(COUNTA(O128:Q128)&lt;3,"",IF(AND(O128=P128,P128=Q128),"3/3",IF(OR(O128=P128,O128=Q128,P128=Q128),"2/3","0/3")))</f>
        <v/>
      </c>
    </row>
    <row r="129">
      <c r="A129" s="2" t="n">
        <v>128</v>
      </c>
      <c r="B129" s="2" t="inlineStr">
        <is>
          <t>W4406058598</t>
        </is>
      </c>
      <c r="C129" s="2" t="inlineStr">
        <is>
          <t>Halu-J: Critique-Based Hallucination Judge</t>
        </is>
      </c>
      <c r="D129" s="2" t="inlineStr">
        <is>
          <t>accuracy</t>
        </is>
      </c>
      <c r="E129" s="2" t="n">
        <v>0.83</v>
      </c>
      <c r="F129" s="2" t="inlineStr">
        <is>
          <t>C</t>
        </is>
      </c>
      <c r="G129" s="2" t="n">
        <v>0.897</v>
      </c>
      <c r="H129" s="2" t="n">
        <v>0.88</v>
      </c>
      <c r="I129" s="2" t="n">
        <v>0.914</v>
      </c>
      <c r="J129" s="2" t="inlineStr">
        <is>
          <t>1238</t>
        </is>
      </c>
      <c r="K129" s="2" t="inlineStr">
        <is>
          <t>0</t>
        </is>
      </c>
      <c r="L129" s="2" t="inlineStr"/>
      <c r="M129" s="2" t="inlineStr">
        <is>
          <t>편차</t>
        </is>
      </c>
      <c r="N129" s="2" t="inlineStr"/>
      <c r="O129" s="3" t="n"/>
      <c r="P129" s="3" t="n"/>
      <c r="Q129" s="3" t="n"/>
      <c r="R129" s="3" t="n"/>
      <c r="S129" s="3" t="n"/>
      <c r="T129" s="3" t="n"/>
      <c r="U129" s="3" t="n"/>
      <c r="V129" s="3" t="n"/>
      <c r="W129" s="3" t="n"/>
      <c r="X129" s="2">
        <f>IF(COUNTA(O129:Q129)&lt;3,"",IF(AND(O129=P129,P129=Q129),O129,IF(O129=P129,O129,IF(O129=Q129,O129,IF(P129=Q129,P129,"판정 불능")))))</f>
        <v/>
      </c>
      <c r="Y129" s="2">
        <f>IF(COUNTA(O129:Q129)&lt;3,"",IF(AND(O129=P129,P129=Q129),"3/3",IF(OR(O129=P129,O129=Q129,P129=Q129),"2/3","0/3")))</f>
        <v/>
      </c>
    </row>
    <row r="130">
      <c r="A130" s="2" t="n">
        <v>129</v>
      </c>
      <c r="B130" s="2" t="inlineStr">
        <is>
          <t>W4406058598</t>
        </is>
      </c>
      <c r="C130" s="2" t="inlineStr">
        <is>
          <t>Halu-J: Critique-Based Hallucination Judge</t>
        </is>
      </c>
      <c r="D130" s="2" t="inlineStr">
        <is>
          <t>accuracy</t>
        </is>
      </c>
      <c r="E130" s="2" t="n">
        <v>0.83</v>
      </c>
      <c r="F130" s="2" t="inlineStr">
        <is>
          <t>D</t>
        </is>
      </c>
      <c r="G130" s="2" t="n">
        <v>0.887</v>
      </c>
      <c r="H130" s="2" t="n">
        <v>0.869</v>
      </c>
      <c r="I130" s="2" t="n">
        <v>0.905</v>
      </c>
      <c r="J130" s="2" t="inlineStr">
        <is>
          <t>1238</t>
        </is>
      </c>
      <c r="K130" s="2" t="inlineStr">
        <is>
          <t>0</t>
        </is>
      </c>
      <c r="L130" s="2" t="inlineStr"/>
      <c r="M130" s="2" t="inlineStr">
        <is>
          <t>편차</t>
        </is>
      </c>
      <c r="N130" s="2" t="inlineStr"/>
      <c r="O130" s="3" t="n"/>
      <c r="P130" s="3" t="n"/>
      <c r="Q130" s="3" t="n"/>
      <c r="R130" s="3" t="n"/>
      <c r="S130" s="3" t="n"/>
      <c r="T130" s="3" t="n"/>
      <c r="U130" s="3" t="n"/>
      <c r="V130" s="3" t="n"/>
      <c r="W130" s="3" t="n"/>
      <c r="X130" s="2">
        <f>IF(COUNTA(O130:Q130)&lt;3,"",IF(AND(O130=P130,P130=Q130),O130,IF(O130=P130,O130,IF(O130=Q130,O130,IF(P130=Q130,P130,"판정 불능")))))</f>
        <v/>
      </c>
      <c r="Y130" s="2">
        <f>IF(COUNTA(O130:Q130)&lt;3,"",IF(AND(O130=P130,P130=Q130),"3/3",IF(OR(O130=P130,O130=Q130,P130=Q130),"2/3","0/3")))</f>
        <v/>
      </c>
    </row>
    <row r="131">
      <c r="A131" s="2" t="n">
        <v>130</v>
      </c>
      <c r="B131" s="2" t="inlineStr">
        <is>
          <t>W4406058598</t>
        </is>
      </c>
      <c r="C131" s="2" t="inlineStr">
        <is>
          <t>Halu-J: Critique-Based Hallucination Judge</t>
        </is>
      </c>
      <c r="D131" s="2" t="inlineStr">
        <is>
          <t>accuracy</t>
        </is>
      </c>
      <c r="E131" s="2" t="n">
        <v>0.83</v>
      </c>
      <c r="F131" s="2" t="inlineStr">
        <is>
          <t>E</t>
        </is>
      </c>
      <c r="G131" s="2" t="n">
        <v>0.901</v>
      </c>
      <c r="H131" s="2" t="n">
        <v>0.881</v>
      </c>
      <c r="I131" s="2" t="n">
        <v>0.922</v>
      </c>
      <c r="J131" s="2" t="inlineStr">
        <is>
          <t>867</t>
        </is>
      </c>
      <c r="K131" s="2" t="inlineStr">
        <is>
          <t>0</t>
        </is>
      </c>
      <c r="L131" s="2" t="inlineStr">
        <is>
          <t>예</t>
        </is>
      </c>
      <c r="M131" s="2" t="inlineStr">
        <is>
          <t>편차</t>
        </is>
      </c>
      <c r="N131" s="2" t="inlineStr"/>
      <c r="O131" s="3" t="n"/>
      <c r="P131" s="3" t="n"/>
      <c r="Q131" s="3" t="n"/>
      <c r="R131" s="3" t="n"/>
      <c r="S131" s="3" t="n"/>
      <c r="T131" s="3" t="n"/>
      <c r="U131" s="3" t="n"/>
      <c r="V131" s="3" t="n"/>
      <c r="W131" s="3" t="n"/>
      <c r="X131" s="2">
        <f>IF(COUNTA(O131:Q131)&lt;3,"",IF(AND(O131=P131,P131=Q131),O131,IF(O131=P131,O131,IF(O131=Q131,O131,IF(P131=Q131,P131,"판정 불능")))))</f>
        <v/>
      </c>
      <c r="Y131" s="2">
        <f>IF(COUNTA(O131:Q131)&lt;3,"",IF(AND(O131=P131,P131=Q131),"3/3",IF(OR(O131=P131,O131=Q131,P131=Q131),"2/3","0/3")))</f>
        <v/>
      </c>
    </row>
    <row r="132">
      <c r="A132" s="2" t="n">
        <v>131</v>
      </c>
      <c r="B132" s="2" t="inlineStr">
        <is>
          <t>W4406880877</t>
        </is>
      </c>
      <c r="C132" s="2" t="inlineStr">
        <is>
          <t xml:space="preserve">People who frequently use ChatGPT for writing tasks </t>
        </is>
      </c>
      <c r="D132" s="2" t="inlineStr">
        <is>
          <t>accuracy</t>
        </is>
      </c>
      <c r="E132" s="2" t="n">
        <v>54</v>
      </c>
      <c r="F132" s="2" t="inlineStr">
        <is>
          <t>A</t>
        </is>
      </c>
      <c r="G132" s="2" t="n">
        <v>8</v>
      </c>
      <c r="H132" s="2" t="n">
        <v>4</v>
      </c>
      <c r="I132" s="2" t="n">
        <v>12.667</v>
      </c>
      <c r="J132" s="2" t="inlineStr">
        <is>
          <t>150</t>
        </is>
      </c>
      <c r="K132" s="2" t="inlineStr">
        <is>
          <t>0</t>
        </is>
      </c>
      <c r="L132" s="2" t="inlineStr"/>
      <c r="M132" s="2" t="inlineStr">
        <is>
          <t>편차</t>
        </is>
      </c>
      <c r="N132" s="2" t="inlineStr"/>
      <c r="O132" s="3" t="n"/>
      <c r="P132" s="3" t="n"/>
      <c r="Q132" s="3" t="n"/>
      <c r="R132" s="3" t="n"/>
      <c r="S132" s="3" t="n"/>
      <c r="T132" s="3" t="n"/>
      <c r="U132" s="3" t="n"/>
      <c r="V132" s="3" t="n"/>
      <c r="W132" s="3" t="n"/>
      <c r="X132" s="2">
        <f>IF(COUNTA(O132:Q132)&lt;3,"",IF(AND(O132=P132,P132=Q132),O132,IF(O132=P132,O132,IF(O132=Q132,O132,IF(P132=Q132,P132,"판정 불능")))))</f>
        <v/>
      </c>
      <c r="Y132" s="2">
        <f>IF(COUNTA(O132:Q132)&lt;3,"",IF(AND(O132=P132,P132=Q132),"3/3",IF(OR(O132=P132,O132=Q132,P132=Q132),"2/3","0/3")))</f>
        <v/>
      </c>
    </row>
    <row r="133">
      <c r="A133" s="2" t="n">
        <v>132</v>
      </c>
      <c r="B133" s="2" t="inlineStr">
        <is>
          <t>W4406880877</t>
        </is>
      </c>
      <c r="C133" s="2" t="inlineStr">
        <is>
          <t xml:space="preserve">People who frequently use ChatGPT for writing tasks </t>
        </is>
      </c>
      <c r="D133" s="2" t="inlineStr">
        <is>
          <t>accuracy</t>
        </is>
      </c>
      <c r="E133" s="2" t="n">
        <v>54</v>
      </c>
      <c r="F133" s="2" t="inlineStr">
        <is>
          <t>B</t>
        </is>
      </c>
      <c r="G133" s="2" t="n">
        <v>100</v>
      </c>
      <c r="H133" s="2" t="n">
        <v>100</v>
      </c>
      <c r="I133" s="2" t="n">
        <v>100</v>
      </c>
      <c r="J133" s="2" t="inlineStr">
        <is>
          <t>150</t>
        </is>
      </c>
      <c r="K133" s="2" t="inlineStr">
        <is>
          <t>0</t>
        </is>
      </c>
      <c r="L133" s="2" t="inlineStr"/>
      <c r="M133" s="2" t="inlineStr">
        <is>
          <t>편차</t>
        </is>
      </c>
      <c r="N133" s="2" t="inlineStr"/>
      <c r="O133" s="3" t="n"/>
      <c r="P133" s="3" t="n"/>
      <c r="Q133" s="3" t="n"/>
      <c r="R133" s="3" t="n"/>
      <c r="S133" s="3" t="n"/>
      <c r="T133" s="3" t="n"/>
      <c r="U133" s="3" t="n"/>
      <c r="V133" s="3" t="n"/>
      <c r="W133" s="3" t="n"/>
      <c r="X133" s="2">
        <f>IF(COUNTA(O133:Q133)&lt;3,"",IF(AND(O133=P133,P133=Q133),O133,IF(O133=P133,O133,IF(O133=Q133,O133,IF(P133=Q133,P133,"판정 불능")))))</f>
        <v/>
      </c>
      <c r="Y133" s="2">
        <f>IF(COUNTA(O133:Q133)&lt;3,"",IF(AND(O133=P133,P133=Q133),"3/3",IF(OR(O133=P133,O133=Q133,P133=Q133),"2/3","0/3")))</f>
        <v/>
      </c>
    </row>
    <row r="134">
      <c r="A134" s="2" t="n">
        <v>133</v>
      </c>
      <c r="B134" s="2" t="inlineStr">
        <is>
          <t>W4406880877</t>
        </is>
      </c>
      <c r="C134" s="2" t="inlineStr">
        <is>
          <t xml:space="preserve">People who frequently use ChatGPT for writing tasks </t>
        </is>
      </c>
      <c r="D134" s="2" t="inlineStr">
        <is>
          <t>accuracy</t>
        </is>
      </c>
      <c r="E134" s="2" t="n">
        <v>54</v>
      </c>
      <c r="F134" s="2" t="inlineStr">
        <is>
          <t>C</t>
        </is>
      </c>
      <c r="G134" s="2" t="n">
        <v>54.66666666666666</v>
      </c>
      <c r="H134" s="2" t="n">
        <v>46.66666666666666</v>
      </c>
      <c r="I134" s="2" t="n">
        <v>62.66666666666667</v>
      </c>
      <c r="J134" s="2" t="n">
        <v>150</v>
      </c>
      <c r="K134" s="2" t="n">
        <v>0</v>
      </c>
      <c r="L134" s="2" t="inlineStr"/>
      <c r="M134" s="2" t="inlineStr">
        <is>
          <t>재현</t>
        </is>
      </c>
      <c r="N134" s="2" t="inlineStr"/>
      <c r="O134" s="3" t="n"/>
      <c r="P134" s="3" t="n"/>
      <c r="Q134" s="3" t="n"/>
      <c r="R134" s="3" t="n"/>
      <c r="S134" s="3" t="n"/>
      <c r="T134" s="3" t="n"/>
      <c r="U134" s="3" t="n"/>
      <c r="V134" s="3" t="n"/>
      <c r="W134" s="3" t="n"/>
      <c r="X134" s="2">
        <f>IF(COUNTA(O134:Q134)&lt;3,"",IF(AND(O134=P134,P134=Q134),O134,IF(O134=P134,O134,IF(O134=Q134,O134,IF(P134=Q134,P134,"판정 불능")))))</f>
        <v/>
      </c>
      <c r="Y134" s="2">
        <f>IF(COUNTA(O134:Q134)&lt;3,"",IF(AND(O134=P134,P134=Q134),"3/3",IF(OR(O134=P134,O134=Q134,P134=Q134),"2/3","0/3")))</f>
        <v/>
      </c>
    </row>
    <row r="135">
      <c r="A135" s="2" t="n">
        <v>134</v>
      </c>
      <c r="B135" s="2" t="inlineStr">
        <is>
          <t>W4406880877</t>
        </is>
      </c>
      <c r="C135" s="2" t="inlineStr">
        <is>
          <t xml:space="preserve">People who frequently use ChatGPT for writing tasks </t>
        </is>
      </c>
      <c r="D135" s="2" t="inlineStr">
        <is>
          <t>accuracy</t>
        </is>
      </c>
      <c r="E135" s="2" t="n">
        <v>54</v>
      </c>
      <c r="F135" s="2" t="inlineStr">
        <is>
          <t>D</t>
        </is>
      </c>
      <c r="G135" s="2" t="n">
        <v>100</v>
      </c>
      <c r="H135" s="2" t="n">
        <v>100</v>
      </c>
      <c r="I135" s="2" t="n">
        <v>100</v>
      </c>
      <c r="J135" s="2" t="inlineStr">
        <is>
          <t>150</t>
        </is>
      </c>
      <c r="K135" s="2" t="inlineStr">
        <is>
          <t>0</t>
        </is>
      </c>
      <c r="L135" s="2" t="inlineStr"/>
      <c r="M135" s="2" t="inlineStr">
        <is>
          <t>편차</t>
        </is>
      </c>
      <c r="N135" s="2" t="inlineStr"/>
      <c r="O135" s="3" t="n"/>
      <c r="P135" s="3" t="n"/>
      <c r="Q135" s="3" t="n"/>
      <c r="R135" s="3" t="n"/>
      <c r="S135" s="3" t="n"/>
      <c r="T135" s="3" t="n"/>
      <c r="U135" s="3" t="n"/>
      <c r="V135" s="3" t="n"/>
      <c r="W135" s="3" t="n"/>
      <c r="X135" s="2">
        <f>IF(COUNTA(O135:Q135)&lt;3,"",IF(AND(O135=P135,P135=Q135),O135,IF(O135=P135,O135,IF(O135=Q135,O135,IF(P135=Q135,P135,"판정 불능")))))</f>
        <v/>
      </c>
      <c r="Y135" s="2">
        <f>IF(COUNTA(O135:Q135)&lt;3,"",IF(AND(O135=P135,P135=Q135),"3/3",IF(OR(O135=P135,O135=Q135,P135=Q135),"2/3","0/3")))</f>
        <v/>
      </c>
    </row>
    <row r="136">
      <c r="A136" s="2" t="n">
        <v>135</v>
      </c>
      <c r="B136" s="2" t="inlineStr">
        <is>
          <t>W4406975432</t>
        </is>
      </c>
      <c r="C136" s="2" t="inlineStr">
        <is>
          <t>Actions Speak Louder than Words: Agent Decisions Rev</t>
        </is>
      </c>
      <c r="D136" s="2" t="inlineStr">
        <is>
          <t>custom</t>
        </is>
      </c>
      <c r="E136" s="2" t="n">
        <v>0.513</v>
      </c>
      <c r="F136" s="2" t="inlineStr">
        <is>
          <t>A</t>
        </is>
      </c>
      <c r="G136" s="2" t="n">
        <v>0.215</v>
      </c>
      <c r="H136" s="2" t="n"/>
      <c r="I136" s="2" t="n"/>
      <c r="J136" s="2" t="inlineStr">
        <is>
          <t>4061</t>
        </is>
      </c>
      <c r="K136" s="2" t="inlineStr">
        <is>
          <t>191</t>
        </is>
      </c>
      <c r="L136" s="2" t="inlineStr"/>
      <c r="M136" s="2" t="inlineStr">
        <is>
          <t>편차</t>
        </is>
      </c>
      <c r="N136" s="2" t="inlineStr"/>
      <c r="O136" s="3" t="n"/>
      <c r="P136" s="3" t="n"/>
      <c r="Q136" s="3" t="n"/>
      <c r="R136" s="3" t="n"/>
      <c r="S136" s="3" t="n"/>
      <c r="T136" s="3" t="n"/>
      <c r="U136" s="3" t="n"/>
      <c r="V136" s="3" t="n"/>
      <c r="W136" s="3" t="n"/>
      <c r="X136" s="2">
        <f>IF(COUNTA(O136:Q136)&lt;3,"",IF(AND(O136=P136,P136=Q136),O136,IF(O136=P136,O136,IF(O136=Q136,O136,IF(P136=Q136,P136,"판정 불능")))))</f>
        <v/>
      </c>
      <c r="Y136" s="2">
        <f>IF(COUNTA(O136:Q136)&lt;3,"",IF(AND(O136=P136,P136=Q136),"3/3",IF(OR(O136=P136,O136=Q136,P136=Q136),"2/3","0/3")))</f>
        <v/>
      </c>
    </row>
    <row r="137">
      <c r="A137" s="2" t="n">
        <v>136</v>
      </c>
      <c r="B137" s="2" t="inlineStr">
        <is>
          <t>W4406975432</t>
        </is>
      </c>
      <c r="C137" s="2" t="inlineStr">
        <is>
          <t>Actions Speak Louder than Words: Agent Decisions Rev</t>
        </is>
      </c>
      <c r="D137" s="2" t="inlineStr">
        <is>
          <t>custom</t>
        </is>
      </c>
      <c r="E137" s="2" t="n">
        <v>0.513</v>
      </c>
      <c r="F137" s="2" t="inlineStr">
        <is>
          <t>B</t>
        </is>
      </c>
      <c r="G137" s="2" t="n">
        <v>0.216</v>
      </c>
      <c r="H137" s="2" t="n"/>
      <c r="I137" s="2" t="n"/>
      <c r="J137" s="2" t="inlineStr">
        <is>
          <t>831</t>
        </is>
      </c>
      <c r="K137" s="2" t="inlineStr">
        <is>
          <t>0</t>
        </is>
      </c>
      <c r="L137" s="2" t="inlineStr">
        <is>
          <t>예</t>
        </is>
      </c>
      <c r="M137" s="2" t="inlineStr">
        <is>
          <t>편차</t>
        </is>
      </c>
      <c r="N137" s="2" t="inlineStr"/>
      <c r="O137" s="3" t="n"/>
      <c r="P137" s="3" t="n"/>
      <c r="Q137" s="3" t="n"/>
      <c r="R137" s="3" t="n"/>
      <c r="S137" s="3" t="n"/>
      <c r="T137" s="3" t="n"/>
      <c r="U137" s="3" t="n"/>
      <c r="V137" s="3" t="n"/>
      <c r="W137" s="3" t="n"/>
      <c r="X137" s="2">
        <f>IF(COUNTA(O137:Q137)&lt;3,"",IF(AND(O137=P137,P137=Q137),O137,IF(O137=P137,O137,IF(O137=Q137,O137,IF(P137=Q137,P137,"판정 불능")))))</f>
        <v/>
      </c>
      <c r="Y137" s="2">
        <f>IF(COUNTA(O137:Q137)&lt;3,"",IF(AND(O137=P137,P137=Q137),"3/3",IF(OR(O137=P137,O137=Q137,P137=Q137),"2/3","0/3")))</f>
        <v/>
      </c>
    </row>
    <row r="138">
      <c r="A138" s="2" t="n">
        <v>137</v>
      </c>
      <c r="B138" s="2" t="inlineStr">
        <is>
          <t>W4406975432</t>
        </is>
      </c>
      <c r="C138" s="2" t="inlineStr">
        <is>
          <t>Actions Speak Louder than Words: Agent Decisions Rev</t>
        </is>
      </c>
      <c r="D138" s="2" t="inlineStr">
        <is>
          <t>custom</t>
        </is>
      </c>
      <c r="E138" s="2" t="n">
        <v>0.513</v>
      </c>
      <c r="F138" s="2" t="inlineStr">
        <is>
          <t>C</t>
        </is>
      </c>
      <c r="G138" s="2" t="n">
        <v>0.5610979040739102</v>
      </c>
      <c r="H138" s="2" t="n"/>
      <c r="I138" s="2" t="n"/>
      <c r="J138" s="2" t="n">
        <v>1174</v>
      </c>
      <c r="K138" s="2" t="n">
        <v>193</v>
      </c>
      <c r="L138" s="2" t="inlineStr">
        <is>
          <t>예</t>
        </is>
      </c>
      <c r="M138" s="2" t="inlineStr">
        <is>
          <t>근접</t>
        </is>
      </c>
      <c r="N138" s="2" t="inlineStr"/>
      <c r="O138" s="3" t="n"/>
      <c r="P138" s="3" t="n"/>
      <c r="Q138" s="3" t="n"/>
      <c r="R138" s="3" t="n"/>
      <c r="S138" s="3" t="n"/>
      <c r="T138" s="3" t="n"/>
      <c r="U138" s="3" t="n"/>
      <c r="V138" s="3" t="n"/>
      <c r="W138" s="3" t="n"/>
      <c r="X138" s="2">
        <f>IF(COUNTA(O138:Q138)&lt;3,"",IF(AND(O138=P138,P138=Q138),O138,IF(O138=P138,O138,IF(O138=Q138,O138,IF(P138=Q138,P138,"판정 불능")))))</f>
        <v/>
      </c>
      <c r="Y138" s="2">
        <f>IF(COUNTA(O138:Q138)&lt;3,"",IF(AND(O138=P138,P138=Q138),"3/3",IF(OR(O138=P138,O138=Q138,P138=Q138),"2/3","0/3")))</f>
        <v/>
      </c>
    </row>
    <row r="139">
      <c r="A139" s="2" t="n">
        <v>138</v>
      </c>
      <c r="B139" s="2" t="inlineStr">
        <is>
          <t>W4407374917</t>
        </is>
      </c>
      <c r="C139" s="2" t="inlineStr">
        <is>
          <t>Large language models possess some ecological knowle</t>
        </is>
      </c>
      <c r="D139" s="2" t="inlineStr">
        <is>
          <t>custom</t>
        </is>
      </c>
      <c r="E139" s="2" t="n">
        <v>78</v>
      </c>
      <c r="F139" s="2" t="inlineStr">
        <is>
          <t>A</t>
        </is>
      </c>
      <c r="G139" s="2" t="n">
        <v>83.83799999999999</v>
      </c>
      <c r="H139" s="2" t="n">
        <v>81.715</v>
      </c>
      <c r="I139" s="2" t="n">
        <v>85.758</v>
      </c>
      <c r="J139" s="2" t="inlineStr">
        <is>
          <t>100</t>
        </is>
      </c>
      <c r="K139" s="2" t="inlineStr">
        <is>
          <t>0</t>
        </is>
      </c>
      <c r="L139" s="2" t="inlineStr"/>
      <c r="M139" s="2" t="inlineStr">
        <is>
          <t>편차</t>
        </is>
      </c>
      <c r="N139" s="2" t="inlineStr"/>
      <c r="O139" s="3" t="n"/>
      <c r="P139" s="3" t="n"/>
      <c r="Q139" s="3" t="n"/>
      <c r="R139" s="3" t="n"/>
      <c r="S139" s="3" t="n"/>
      <c r="T139" s="3" t="n"/>
      <c r="U139" s="3" t="n"/>
      <c r="V139" s="3" t="n"/>
      <c r="W139" s="3" t="n"/>
      <c r="X139" s="2">
        <f>IF(COUNTA(O139:Q139)&lt;3,"",IF(AND(O139=P139,P139=Q139),O139,IF(O139=P139,O139,IF(O139=Q139,O139,IF(P139=Q139,P139,"판정 불능")))))</f>
        <v/>
      </c>
      <c r="Y139" s="2">
        <f>IF(COUNTA(O139:Q139)&lt;3,"",IF(AND(O139=P139,P139=Q139),"3/3",IF(OR(O139=P139,O139=Q139,P139=Q139),"2/3","0/3")))</f>
        <v/>
      </c>
    </row>
    <row r="140">
      <c r="A140" s="2" t="n">
        <v>139</v>
      </c>
      <c r="B140" s="2" t="inlineStr">
        <is>
          <t>W4407374917</t>
        </is>
      </c>
      <c r="C140" s="2" t="inlineStr">
        <is>
          <t>Large language models possess some ecological knowle</t>
        </is>
      </c>
      <c r="D140" s="2" t="inlineStr">
        <is>
          <t>custom</t>
        </is>
      </c>
      <c r="E140" s="2" t="n">
        <v>78</v>
      </c>
      <c r="F140" s="2" t="inlineStr">
        <is>
          <t>B</t>
        </is>
      </c>
      <c r="G140" s="2" t="n">
        <v>78.367</v>
      </c>
      <c r="H140" s="2" t="n">
        <v>76.122</v>
      </c>
      <c r="I140" s="2" t="n">
        <v>80.717</v>
      </c>
      <c r="J140" s="2" t="inlineStr">
        <is>
          <t>100</t>
        </is>
      </c>
      <c r="K140" s="2" t="inlineStr">
        <is>
          <t>2</t>
        </is>
      </c>
      <c r="L140" s="2" t="inlineStr"/>
      <c r="M140" s="2" t="inlineStr">
        <is>
          <t>재현</t>
        </is>
      </c>
      <c r="N140" s="2" t="inlineStr"/>
      <c r="O140" s="3" t="n"/>
      <c r="P140" s="3" t="n"/>
      <c r="Q140" s="3" t="n"/>
      <c r="R140" s="3" t="n"/>
      <c r="S140" s="3" t="n"/>
      <c r="T140" s="3" t="n"/>
      <c r="U140" s="3" t="n"/>
      <c r="V140" s="3" t="n"/>
      <c r="W140" s="3" t="n"/>
      <c r="X140" s="2">
        <f>IF(COUNTA(O140:Q140)&lt;3,"",IF(AND(O140=P140,P140=Q140),O140,IF(O140=P140,O140,IF(O140=Q140,O140,IF(P140=Q140,P140,"판정 불능")))))</f>
        <v/>
      </c>
      <c r="Y140" s="2">
        <f>IF(COUNTA(O140:Q140)&lt;3,"",IF(AND(O140=P140,P140=Q140),"3/3",IF(OR(O140=P140,O140=Q140,P140=Q140),"2/3","0/3")))</f>
        <v/>
      </c>
    </row>
    <row r="141">
      <c r="A141" s="2" t="n">
        <v>140</v>
      </c>
      <c r="B141" s="2" t="inlineStr">
        <is>
          <t>W4407374917</t>
        </is>
      </c>
      <c r="C141" s="2" t="inlineStr">
        <is>
          <t>Large language models possess some ecological knowle</t>
        </is>
      </c>
      <c r="D141" s="2" t="inlineStr">
        <is>
          <t>custom</t>
        </is>
      </c>
      <c r="E141" s="2" t="n">
        <v>78</v>
      </c>
      <c r="F141" s="2" t="inlineStr">
        <is>
          <t>C</t>
        </is>
      </c>
      <c r="G141" s="2" t="n">
        <v>81.59999999999999</v>
      </c>
      <c r="H141" s="2" t="n">
        <v>79.09999999999999</v>
      </c>
      <c r="I141" s="2" t="n">
        <v>84</v>
      </c>
      <c r="J141" s="2" t="inlineStr">
        <is>
          <t>100</t>
        </is>
      </c>
      <c r="K141" s="2" t="inlineStr">
        <is>
          <t>0</t>
        </is>
      </c>
      <c r="L141" s="2" t="inlineStr"/>
      <c r="M141" s="2" t="inlineStr">
        <is>
          <t>근접</t>
        </is>
      </c>
      <c r="N141" s="2" t="inlineStr"/>
      <c r="O141" s="3" t="n"/>
      <c r="P141" s="3" t="n"/>
      <c r="Q141" s="3" t="n"/>
      <c r="R141" s="3" t="n"/>
      <c r="S141" s="3" t="n"/>
      <c r="T141" s="3" t="n"/>
      <c r="U141" s="3" t="n"/>
      <c r="V141" s="3" t="n"/>
      <c r="W141" s="3" t="n"/>
      <c r="X141" s="2">
        <f>IF(COUNTA(O141:Q141)&lt;3,"",IF(AND(O141=P141,P141=Q141),O141,IF(O141=P141,O141,IF(O141=Q141,O141,IF(P141=Q141,P141,"판정 불능")))))</f>
        <v/>
      </c>
      <c r="Y141" s="2">
        <f>IF(COUNTA(O141:Q141)&lt;3,"",IF(AND(O141=P141,P141=Q141),"3/3",IF(OR(O141=P141,O141=Q141,P141=Q141),"2/3","0/3")))</f>
        <v/>
      </c>
    </row>
    <row r="142">
      <c r="A142" s="2" t="n">
        <v>141</v>
      </c>
      <c r="B142" s="2" t="inlineStr">
        <is>
          <t>W4407374917</t>
        </is>
      </c>
      <c r="C142" s="2" t="inlineStr">
        <is>
          <t>Large language models possess some ecological knowle</t>
        </is>
      </c>
      <c r="D142" s="2" t="inlineStr">
        <is>
          <t>custom</t>
        </is>
      </c>
      <c r="E142" s="2" t="n">
        <v>78</v>
      </c>
      <c r="F142" s="2" t="inlineStr">
        <is>
          <t>D</t>
        </is>
      </c>
      <c r="G142" s="2" t="n">
        <v>77.6300705467372</v>
      </c>
      <c r="H142" s="2" t="n">
        <v>71.83673469387755</v>
      </c>
      <c r="I142" s="2" t="n">
        <v>79.38775510204081</v>
      </c>
      <c r="J142" s="2" t="n">
        <v>100</v>
      </c>
      <c r="K142" s="2" t="n">
        <v>149</v>
      </c>
      <c r="L142" s="2" t="inlineStr"/>
      <c r="M142" s="2" t="inlineStr">
        <is>
          <t>재현</t>
        </is>
      </c>
      <c r="N142" s="2" t="inlineStr"/>
      <c r="O142" s="3" t="n"/>
      <c r="P142" s="3" t="n"/>
      <c r="Q142" s="3" t="n"/>
      <c r="R142" s="3" t="n"/>
      <c r="S142" s="3" t="n"/>
      <c r="T142" s="3" t="n"/>
      <c r="U142" s="3" t="n"/>
      <c r="V142" s="3" t="n"/>
      <c r="W142" s="3" t="n"/>
      <c r="X142" s="2">
        <f>IF(COUNTA(O142:Q142)&lt;3,"",IF(AND(O142=P142,P142=Q142),O142,IF(O142=P142,O142,IF(O142=Q142,O142,IF(P142=Q142,P142,"판정 불능")))))</f>
        <v/>
      </c>
      <c r="Y142" s="2">
        <f>IF(COUNTA(O142:Q142)&lt;3,"",IF(AND(O142=P142,P142=Q142),"3/3",IF(OR(O142=P142,O142=Q142,P142=Q142),"2/3","0/3")))</f>
        <v/>
      </c>
    </row>
    <row r="143">
      <c r="A143" s="2" t="n">
        <v>142</v>
      </c>
      <c r="B143" s="2" t="inlineStr">
        <is>
          <t>W4407374917</t>
        </is>
      </c>
      <c r="C143" s="2" t="inlineStr">
        <is>
          <t>Large language models possess some ecological knowle</t>
        </is>
      </c>
      <c r="D143" s="2" t="inlineStr">
        <is>
          <t>custom</t>
        </is>
      </c>
      <c r="E143" s="2" t="n">
        <v>78</v>
      </c>
      <c r="F143" s="2" t="inlineStr">
        <is>
          <t>E</t>
        </is>
      </c>
      <c r="G143" s="2" t="n">
        <v>71.351</v>
      </c>
      <c r="H143" s="2" t="n">
        <v>67.973</v>
      </c>
      <c r="I143" s="2" t="n">
        <v>74.595</v>
      </c>
      <c r="J143" s="2" t="inlineStr">
        <is>
          <t>100</t>
        </is>
      </c>
      <c r="K143" s="2" t="inlineStr">
        <is>
          <t>26</t>
        </is>
      </c>
      <c r="L143" s="2" t="inlineStr"/>
      <c r="M143" s="2" t="inlineStr">
        <is>
          <t>편차</t>
        </is>
      </c>
      <c r="N143" s="2" t="inlineStr"/>
      <c r="O143" s="3" t="n"/>
      <c r="P143" s="3" t="n"/>
      <c r="Q143" s="3" t="n"/>
      <c r="R143" s="3" t="n"/>
      <c r="S143" s="3" t="n"/>
      <c r="T143" s="3" t="n"/>
      <c r="U143" s="3" t="n"/>
      <c r="V143" s="3" t="n"/>
      <c r="W143" s="3" t="n"/>
      <c r="X143" s="2">
        <f>IF(COUNTA(O143:Q143)&lt;3,"",IF(AND(O143=P143,P143=Q143),O143,IF(O143=P143,O143,IF(O143=Q143,O143,IF(P143=Q143,P143,"판정 불능")))))</f>
        <v/>
      </c>
      <c r="Y143" s="2">
        <f>IF(COUNTA(O143:Q143)&lt;3,"",IF(AND(O143=P143,P143=Q143),"3/3",IF(OR(O143=P143,O143=Q143,P143=Q143),"2/3","0/3")))</f>
        <v/>
      </c>
    </row>
    <row r="144">
      <c r="A144" s="2" t="n">
        <v>143</v>
      </c>
      <c r="B144" s="2" t="inlineStr">
        <is>
          <t>W4407571428</t>
        </is>
      </c>
      <c r="C144" s="2" t="inlineStr">
        <is>
          <t>The Stochastic Parrot on LLM's Shoulder: A Summative</t>
        </is>
      </c>
      <c r="D144" s="2" t="inlineStr">
        <is>
          <t>accuracy</t>
        </is>
      </c>
      <c r="E144" s="2" t="n">
        <v>41.3</v>
      </c>
      <c r="F144" s="2" t="inlineStr">
        <is>
          <t>A</t>
        </is>
      </c>
      <c r="G144" s="2" t="n">
        <v>80.5</v>
      </c>
      <c r="H144" s="2" t="n">
        <v>75</v>
      </c>
      <c r="I144" s="2" t="n">
        <v>86</v>
      </c>
      <c r="J144" s="2" t="inlineStr">
        <is>
          <t>200</t>
        </is>
      </c>
      <c r="K144" s="2" t="inlineStr">
        <is>
          <t>0</t>
        </is>
      </c>
      <c r="L144" s="2" t="inlineStr"/>
      <c r="M144" s="2" t="inlineStr">
        <is>
          <t>편차</t>
        </is>
      </c>
      <c r="N144" s="2" t="inlineStr"/>
      <c r="O144" s="3" t="n"/>
      <c r="P144" s="3" t="n"/>
      <c r="Q144" s="3" t="n"/>
      <c r="R144" s="3" t="n"/>
      <c r="S144" s="3" t="n"/>
      <c r="T144" s="3" t="n"/>
      <c r="U144" s="3" t="n"/>
      <c r="V144" s="3" t="n"/>
      <c r="W144" s="3" t="n"/>
      <c r="X144" s="2">
        <f>IF(COUNTA(O144:Q144)&lt;3,"",IF(AND(O144=P144,P144=Q144),O144,IF(O144=P144,O144,IF(O144=Q144,O144,IF(P144=Q144,P144,"판정 불능")))))</f>
        <v/>
      </c>
      <c r="Y144" s="2">
        <f>IF(COUNTA(O144:Q144)&lt;3,"",IF(AND(O144=P144,P144=Q144),"3/3",IF(OR(O144=P144,O144=Q144,P144=Q144),"2/3","0/3")))</f>
        <v/>
      </c>
    </row>
    <row r="145">
      <c r="A145" s="2" t="n">
        <v>144</v>
      </c>
      <c r="B145" s="2" t="inlineStr">
        <is>
          <t>W4407571428</t>
        </is>
      </c>
      <c r="C145" s="2" t="inlineStr">
        <is>
          <t>The Stochastic Parrot on LLM's Shoulder: A Summative</t>
        </is>
      </c>
      <c r="D145" s="2" t="inlineStr">
        <is>
          <t>accuracy</t>
        </is>
      </c>
      <c r="E145" s="2" t="n">
        <v>41.3</v>
      </c>
      <c r="F145" s="2" t="inlineStr">
        <is>
          <t>B</t>
        </is>
      </c>
      <c r="G145" s="2" t="n">
        <v>34</v>
      </c>
      <c r="H145" s="2" t="n">
        <v>27.5</v>
      </c>
      <c r="I145" s="2" t="n">
        <v>40</v>
      </c>
      <c r="J145" s="2" t="inlineStr">
        <is>
          <t>200</t>
        </is>
      </c>
      <c r="K145" s="2" t="inlineStr">
        <is>
          <t>0</t>
        </is>
      </c>
      <c r="L145" s="2" t="inlineStr"/>
      <c r="M145" s="2" t="inlineStr">
        <is>
          <t>편차</t>
        </is>
      </c>
      <c r="N145" s="2" t="inlineStr"/>
      <c r="O145" s="3" t="n"/>
      <c r="P145" s="3" t="n"/>
      <c r="Q145" s="3" t="n"/>
      <c r="R145" s="3" t="n"/>
      <c r="S145" s="3" t="n"/>
      <c r="T145" s="3" t="n"/>
      <c r="U145" s="3" t="n"/>
      <c r="V145" s="3" t="n"/>
      <c r="W145" s="3" t="n"/>
      <c r="X145" s="2">
        <f>IF(COUNTA(O145:Q145)&lt;3,"",IF(AND(O145=P145,P145=Q145),O145,IF(O145=P145,O145,IF(O145=Q145,O145,IF(P145=Q145,P145,"판정 불능")))))</f>
        <v/>
      </c>
      <c r="Y145" s="2">
        <f>IF(COUNTA(O145:Q145)&lt;3,"",IF(AND(O145=P145,P145=Q145),"3/3",IF(OR(O145=P145,O145=Q145,P145=Q145),"2/3","0/3")))</f>
        <v/>
      </c>
    </row>
    <row r="146">
      <c r="A146" s="2" t="n">
        <v>145</v>
      </c>
      <c r="B146" s="2" t="inlineStr">
        <is>
          <t>W4407571428</t>
        </is>
      </c>
      <c r="C146" s="2" t="inlineStr">
        <is>
          <t>The Stochastic Parrot on LLM's Shoulder: A Summative</t>
        </is>
      </c>
      <c r="D146" s="2" t="inlineStr">
        <is>
          <t>accuracy</t>
        </is>
      </c>
      <c r="E146" s="2" t="n">
        <v>41.3</v>
      </c>
      <c r="F146" s="2" t="inlineStr">
        <is>
          <t>C</t>
        </is>
      </c>
      <c r="G146" s="2" t="n">
        <v>82.5</v>
      </c>
      <c r="H146" s="2" t="n">
        <v>77</v>
      </c>
      <c r="I146" s="2" t="n">
        <v>87.5</v>
      </c>
      <c r="J146" s="2" t="inlineStr">
        <is>
          <t>200</t>
        </is>
      </c>
      <c r="K146" s="2" t="inlineStr">
        <is>
          <t>0</t>
        </is>
      </c>
      <c r="L146" s="2" t="inlineStr"/>
      <c r="M146" s="2" t="inlineStr">
        <is>
          <t>편차</t>
        </is>
      </c>
      <c r="N146" s="2" t="inlineStr"/>
      <c r="O146" s="3" t="n"/>
      <c r="P146" s="3" t="n"/>
      <c r="Q146" s="3" t="n"/>
      <c r="R146" s="3" t="n"/>
      <c r="S146" s="3" t="n"/>
      <c r="T146" s="3" t="n"/>
      <c r="U146" s="3" t="n"/>
      <c r="V146" s="3" t="n"/>
      <c r="W146" s="3" t="n"/>
      <c r="X146" s="2">
        <f>IF(COUNTA(O146:Q146)&lt;3,"",IF(AND(O146=P146,P146=Q146),O146,IF(O146=P146,O146,IF(O146=Q146,O146,IF(P146=Q146,P146,"판정 불능")))))</f>
        <v/>
      </c>
      <c r="Y146" s="2">
        <f>IF(COUNTA(O146:Q146)&lt;3,"",IF(AND(O146=P146,P146=Q146),"3/3",IF(OR(O146=P146,O146=Q146,P146=Q146),"2/3","0/3")))</f>
        <v/>
      </c>
    </row>
    <row r="147">
      <c r="A147" s="2" t="n">
        <v>146</v>
      </c>
      <c r="B147" s="2" t="inlineStr">
        <is>
          <t>W4407571428</t>
        </is>
      </c>
      <c r="C147" s="2" t="inlineStr">
        <is>
          <t>The Stochastic Parrot on LLM's Shoulder: A Summative</t>
        </is>
      </c>
      <c r="D147" s="2" t="inlineStr">
        <is>
          <t>accuracy</t>
        </is>
      </c>
      <c r="E147" s="2" t="n">
        <v>41.3</v>
      </c>
      <c r="F147" s="2" t="inlineStr">
        <is>
          <t>D</t>
        </is>
      </c>
      <c r="G147" s="2" t="n">
        <v>47.5</v>
      </c>
      <c r="H147" s="2" t="n">
        <v>41</v>
      </c>
      <c r="I147" s="2" t="n">
        <v>54.5</v>
      </c>
      <c r="J147" s="2" t="inlineStr">
        <is>
          <t>200</t>
        </is>
      </c>
      <c r="K147" s="2" t="inlineStr">
        <is>
          <t>0</t>
        </is>
      </c>
      <c r="L147" s="2" t="inlineStr"/>
      <c r="M147" s="2" t="inlineStr">
        <is>
          <t>재현</t>
        </is>
      </c>
      <c r="N147" s="2" t="inlineStr"/>
      <c r="O147" s="3" t="n"/>
      <c r="P147" s="3" t="n"/>
      <c r="Q147" s="3" t="n"/>
      <c r="R147" s="3" t="n"/>
      <c r="S147" s="3" t="n"/>
      <c r="T147" s="3" t="n"/>
      <c r="U147" s="3" t="n"/>
      <c r="V147" s="3" t="n"/>
      <c r="W147" s="3" t="n"/>
      <c r="X147" s="2">
        <f>IF(COUNTA(O147:Q147)&lt;3,"",IF(AND(O147=P147,P147=Q147),O147,IF(O147=P147,O147,IF(O147=Q147,O147,IF(P147=Q147,P147,"판정 불능")))))</f>
        <v/>
      </c>
      <c r="Y147" s="2">
        <f>IF(COUNTA(O147:Q147)&lt;3,"",IF(AND(O147=P147,P147=Q147),"3/3",IF(OR(O147=P147,O147=Q147,P147=Q147),"2/3","0/3")))</f>
        <v/>
      </c>
    </row>
    <row r="148">
      <c r="A148" s="2" t="n">
        <v>147</v>
      </c>
      <c r="B148" s="2" t="inlineStr">
        <is>
          <t>W4407571428</t>
        </is>
      </c>
      <c r="C148" s="2" t="inlineStr">
        <is>
          <t>The Stochastic Parrot on LLM's Shoulder: A Summative</t>
        </is>
      </c>
      <c r="D148" s="2" t="inlineStr">
        <is>
          <t>accuracy</t>
        </is>
      </c>
      <c r="E148" s="2" t="n">
        <v>41.3</v>
      </c>
      <c r="F148" s="2" t="inlineStr">
        <is>
          <t>E</t>
        </is>
      </c>
      <c r="G148" s="2" t="n">
        <v>35.66666666666667</v>
      </c>
      <c r="H148" s="2" t="n">
        <v>27</v>
      </c>
      <c r="I148" s="2" t="n">
        <v>40</v>
      </c>
      <c r="J148" s="2" t="n">
        <v>200</v>
      </c>
      <c r="K148" s="2" t="n">
        <v>0</v>
      </c>
      <c r="L148" s="2" t="inlineStr"/>
      <c r="M148" s="2" t="inlineStr">
        <is>
          <t>편차</t>
        </is>
      </c>
      <c r="N148" s="2" t="inlineStr"/>
      <c r="O148" s="3" t="n"/>
      <c r="P148" s="3" t="n"/>
      <c r="Q148" s="3" t="n"/>
      <c r="R148" s="3" t="n"/>
      <c r="S148" s="3" t="n"/>
      <c r="T148" s="3" t="n"/>
      <c r="U148" s="3" t="n"/>
      <c r="V148" s="3" t="n"/>
      <c r="W148" s="3" t="n"/>
      <c r="X148" s="2">
        <f>IF(COUNTA(O148:Q148)&lt;3,"",IF(AND(O148=P148,P148=Q148),O148,IF(O148=P148,O148,IF(O148=Q148,O148,IF(P148=Q148,P148,"판정 불능")))))</f>
        <v/>
      </c>
      <c r="Y148" s="2">
        <f>IF(COUNTA(O148:Q148)&lt;3,"",IF(AND(O148=P148,P148=Q148),"3/3",IF(OR(O148=P148,O148=Q148,P148=Q148),"2/3","0/3")))</f>
        <v/>
      </c>
    </row>
    <row r="149">
      <c r="A149" s="2" t="n">
        <v>148</v>
      </c>
      <c r="B149" s="2" t="inlineStr">
        <is>
          <t>W4410110677</t>
        </is>
      </c>
      <c r="C149" s="2" t="inlineStr">
        <is>
          <t>Large Language Models for Supporting Clear Writing a</t>
        </is>
      </c>
      <c r="D149" s="2" t="inlineStr">
        <is>
          <t>accuracy</t>
        </is>
      </c>
      <c r="E149" s="2" t="n">
        <v>0.97</v>
      </c>
      <c r="F149" s="2" t="inlineStr">
        <is>
          <t>A</t>
        </is>
      </c>
      <c r="G149" s="2" t="n">
        <v>0.972</v>
      </c>
      <c r="H149" s="2" t="n">
        <v>0.948</v>
      </c>
      <c r="I149" s="2" t="n">
        <v>0.992</v>
      </c>
      <c r="J149" s="2" t="inlineStr">
        <is>
          <t>250</t>
        </is>
      </c>
      <c r="K149" s="2" t="inlineStr">
        <is>
          <t>0</t>
        </is>
      </c>
      <c r="L149" s="2" t="inlineStr"/>
      <c r="M149" s="2" t="inlineStr">
        <is>
          <t>재현</t>
        </is>
      </c>
      <c r="N149" s="2" t="inlineStr"/>
      <c r="O149" s="3" t="n"/>
      <c r="P149" s="3" t="n"/>
      <c r="Q149" s="3" t="n"/>
      <c r="R149" s="3" t="n"/>
      <c r="S149" s="3" t="n"/>
      <c r="T149" s="3" t="n"/>
      <c r="U149" s="3" t="n"/>
      <c r="V149" s="3" t="n"/>
      <c r="W149" s="3" t="n"/>
      <c r="X149" s="2">
        <f>IF(COUNTA(O149:Q149)&lt;3,"",IF(AND(O149=P149,P149=Q149),O149,IF(O149=P149,O149,IF(O149=Q149,O149,IF(P149=Q149,P149,"판정 불능")))))</f>
        <v/>
      </c>
      <c r="Y149" s="2">
        <f>IF(COUNTA(O149:Q149)&lt;3,"",IF(AND(O149=P149,P149=Q149),"3/3",IF(OR(O149=P149,O149=Q149,P149=Q149),"2/3","0/3")))</f>
        <v/>
      </c>
    </row>
    <row r="150">
      <c r="A150" s="2" t="n">
        <v>149</v>
      </c>
      <c r="B150" s="2" t="inlineStr">
        <is>
          <t>W4410110677</t>
        </is>
      </c>
      <c r="C150" s="2" t="inlineStr">
        <is>
          <t>Large Language Models for Supporting Clear Writing a</t>
        </is>
      </c>
      <c r="D150" s="2" t="inlineStr">
        <is>
          <t>accuracy</t>
        </is>
      </c>
      <c r="E150" s="2" t="n">
        <v>0.97</v>
      </c>
      <c r="F150" s="2" t="inlineStr">
        <is>
          <t>B</t>
        </is>
      </c>
      <c r="G150" s="2" t="n">
        <v>0.963855421686747</v>
      </c>
      <c r="H150" s="2" t="n">
        <v>0.9397590361445783</v>
      </c>
      <c r="I150" s="2" t="n">
        <v>0.9839357429718876</v>
      </c>
      <c r="J150" s="2" t="n">
        <v>249</v>
      </c>
      <c r="K150" s="2" t="n">
        <v>2</v>
      </c>
      <c r="L150" s="2" t="inlineStr"/>
      <c r="M150" s="2" t="inlineStr">
        <is>
          <t>재현</t>
        </is>
      </c>
      <c r="N150" s="2" t="inlineStr"/>
      <c r="O150" s="3" t="n"/>
      <c r="P150" s="3" t="n"/>
      <c r="Q150" s="3" t="n"/>
      <c r="R150" s="3" t="n"/>
      <c r="S150" s="3" t="n"/>
      <c r="T150" s="3" t="n"/>
      <c r="U150" s="3" t="n"/>
      <c r="V150" s="3" t="n"/>
      <c r="W150" s="3" t="n"/>
      <c r="X150" s="2">
        <f>IF(COUNTA(O150:Q150)&lt;3,"",IF(AND(O150=P150,P150=Q150),O150,IF(O150=P150,O150,IF(O150=Q150,O150,IF(P150=Q150,P150,"판정 불능")))))</f>
        <v/>
      </c>
      <c r="Y150" s="2">
        <f>IF(COUNTA(O150:Q150)&lt;3,"",IF(AND(O150=P150,P150=Q150),"3/3",IF(OR(O150=P150,O150=Q150,P150=Q150),"2/3","0/3")))</f>
        <v/>
      </c>
    </row>
    <row r="151">
      <c r="A151" s="2" t="n">
        <v>150</v>
      </c>
      <c r="B151" s="2" t="inlineStr">
        <is>
          <t>W4410110677</t>
        </is>
      </c>
      <c r="C151" s="2" t="inlineStr">
        <is>
          <t>Large Language Models for Supporting Clear Writing a</t>
        </is>
      </c>
      <c r="D151" s="2" t="inlineStr">
        <is>
          <t>accuracy</t>
        </is>
      </c>
      <c r="E151" s="2" t="n">
        <v>0.97</v>
      </c>
      <c r="F151" s="2" t="inlineStr">
        <is>
          <t>C</t>
        </is>
      </c>
      <c r="G151" s="2" t="n">
        <v>0.976</v>
      </c>
      <c r="H151" s="2" t="n">
        <v>0.956</v>
      </c>
      <c r="I151" s="2" t="n">
        <v>0.992</v>
      </c>
      <c r="J151" s="2" t="inlineStr">
        <is>
          <t>250</t>
        </is>
      </c>
      <c r="K151" s="2" t="inlineStr">
        <is>
          <t>0</t>
        </is>
      </c>
      <c r="L151" s="2" t="inlineStr"/>
      <c r="M151" s="2" t="inlineStr">
        <is>
          <t>재현</t>
        </is>
      </c>
      <c r="N151" s="2" t="inlineStr"/>
      <c r="O151" s="3" t="n"/>
      <c r="P151" s="3" t="n"/>
      <c r="Q151" s="3" t="n"/>
      <c r="R151" s="3" t="n"/>
      <c r="S151" s="3" t="n"/>
      <c r="T151" s="3" t="n"/>
      <c r="U151" s="3" t="n"/>
      <c r="V151" s="3" t="n"/>
      <c r="W151" s="3" t="n"/>
      <c r="X151" s="2">
        <f>IF(COUNTA(O151:Q151)&lt;3,"",IF(AND(O151=P151,P151=Q151),O151,IF(O151=P151,O151,IF(O151=Q151,O151,IF(P151=Q151,P151,"판정 불능")))))</f>
        <v/>
      </c>
      <c r="Y151" s="2">
        <f>IF(COUNTA(O151:Q151)&lt;3,"",IF(AND(O151=P151,P151=Q151),"3/3",IF(OR(O151=P151,O151=Q151,P151=Q151),"2/3","0/3")))</f>
        <v/>
      </c>
    </row>
    <row r="152">
      <c r="A152" s="2" t="n">
        <v>151</v>
      </c>
      <c r="B152" s="2" t="inlineStr">
        <is>
          <t>W4410110677</t>
        </is>
      </c>
      <c r="C152" s="2" t="inlineStr">
        <is>
          <t>Large Language Models for Supporting Clear Writing a</t>
        </is>
      </c>
      <c r="D152" s="2" t="inlineStr">
        <is>
          <t>accuracy</t>
        </is>
      </c>
      <c r="E152" s="2" t="n">
        <v>0.97</v>
      </c>
      <c r="F152" s="2" t="inlineStr">
        <is>
          <t>D</t>
        </is>
      </c>
      <c r="G152" s="2" t="n">
        <v>0.96</v>
      </c>
      <c r="H152" s="2" t="n">
        <v>0.9360000000000001</v>
      </c>
      <c r="I152" s="2" t="n">
        <v>0.984</v>
      </c>
      <c r="J152" s="2" t="inlineStr">
        <is>
          <t>250</t>
        </is>
      </c>
      <c r="K152" s="2" t="inlineStr">
        <is>
          <t>0</t>
        </is>
      </c>
      <c r="L152" s="2" t="inlineStr"/>
      <c r="M152" s="2" t="inlineStr">
        <is>
          <t>재현</t>
        </is>
      </c>
      <c r="N152" s="2" t="inlineStr"/>
      <c r="O152" s="3" t="n"/>
      <c r="P152" s="3" t="n"/>
      <c r="Q152" s="3" t="n"/>
      <c r="R152" s="3" t="n"/>
      <c r="S152" s="3" t="n"/>
      <c r="T152" s="3" t="n"/>
      <c r="U152" s="3" t="n"/>
      <c r="V152" s="3" t="n"/>
      <c r="W152" s="3" t="n"/>
      <c r="X152" s="2">
        <f>IF(COUNTA(O152:Q152)&lt;3,"",IF(AND(O152=P152,P152=Q152),O152,IF(O152=P152,O152,IF(O152=Q152,O152,IF(P152=Q152,P152,"판정 불능")))))</f>
        <v/>
      </c>
      <c r="Y152" s="2">
        <f>IF(COUNTA(O152:Q152)&lt;3,"",IF(AND(O152=P152,P152=Q152),"3/3",IF(OR(O152=P152,O152=Q152,P152=Q152),"2/3","0/3")))</f>
        <v/>
      </c>
    </row>
    <row r="153">
      <c r="A153" s="2" t="n">
        <v>152</v>
      </c>
      <c r="B153" s="2" t="inlineStr">
        <is>
          <t>W4411080278</t>
        </is>
      </c>
      <c r="C153" s="2" t="inlineStr">
        <is>
          <t>Temperature-Driven Variability in Emergency Diagnost</t>
        </is>
      </c>
      <c r="D153" s="2" t="inlineStr">
        <is>
          <t>custom</t>
        </is>
      </c>
      <c r="E153" s="2" t="n">
        <v>100</v>
      </c>
      <c r="F153" s="2" t="inlineStr">
        <is>
          <t>A</t>
        </is>
      </c>
      <c r="G153" s="2" t="n">
        <v>99.5</v>
      </c>
      <c r="H153" s="2" t="n">
        <v>99</v>
      </c>
      <c r="I153" s="2" t="n">
        <v>99.90000000000001</v>
      </c>
      <c r="J153" s="2" t="inlineStr">
        <is>
          <t>1000</t>
        </is>
      </c>
      <c r="K153" s="2" t="inlineStr">
        <is>
          <t>0</t>
        </is>
      </c>
      <c r="L153" s="2" t="inlineStr"/>
      <c r="M153" s="2" t="inlineStr">
        <is>
          <t>재현</t>
        </is>
      </c>
      <c r="N153" s="2" t="inlineStr"/>
      <c r="O153" s="3" t="n"/>
      <c r="P153" s="3" t="n"/>
      <c r="Q153" s="3" t="n"/>
      <c r="R153" s="3" t="n"/>
      <c r="S153" s="3" t="n"/>
      <c r="T153" s="3" t="n"/>
      <c r="U153" s="3" t="n"/>
      <c r="V153" s="3" t="n"/>
      <c r="W153" s="3" t="n"/>
      <c r="X153" s="2">
        <f>IF(COUNTA(O153:Q153)&lt;3,"",IF(AND(O153=P153,P153=Q153),O153,IF(O153=P153,O153,IF(O153=Q153,O153,IF(P153=Q153,P153,"판정 불능")))))</f>
        <v/>
      </c>
      <c r="Y153" s="2">
        <f>IF(COUNTA(O153:Q153)&lt;3,"",IF(AND(O153=P153,P153=Q153),"3/3",IF(OR(O153=P153,O153=Q153,P153=Q153),"2/3","0/3")))</f>
        <v/>
      </c>
    </row>
    <row r="154">
      <c r="A154" s="2" t="n">
        <v>153</v>
      </c>
      <c r="B154" s="2" t="inlineStr">
        <is>
          <t>W4411080278</t>
        </is>
      </c>
      <c r="C154" s="2" t="inlineStr">
        <is>
          <t>Temperature-Driven Variability in Emergency Diagnost</t>
        </is>
      </c>
      <c r="D154" s="2" t="inlineStr">
        <is>
          <t>custom</t>
        </is>
      </c>
      <c r="E154" s="2" t="n">
        <v>100</v>
      </c>
      <c r="F154" s="2" t="inlineStr">
        <is>
          <t>B</t>
        </is>
      </c>
      <c r="G154" s="2" t="n">
        <v>31.3</v>
      </c>
      <c r="H154" s="2" t="n">
        <v>28.4</v>
      </c>
      <c r="I154" s="2" t="n">
        <v>34.1</v>
      </c>
      <c r="J154" s="2" t="inlineStr">
        <is>
          <t>1000</t>
        </is>
      </c>
      <c r="K154" s="2" t="inlineStr">
        <is>
          <t>0</t>
        </is>
      </c>
      <c r="L154" s="2" t="inlineStr"/>
      <c r="M154" s="2" t="inlineStr">
        <is>
          <t>편차</t>
        </is>
      </c>
      <c r="N154" s="2" t="inlineStr"/>
      <c r="O154" s="3" t="n"/>
      <c r="P154" s="3" t="n"/>
      <c r="Q154" s="3" t="n"/>
      <c r="R154" s="3" t="n"/>
      <c r="S154" s="3" t="n"/>
      <c r="T154" s="3" t="n"/>
      <c r="U154" s="3" t="n"/>
      <c r="V154" s="3" t="n"/>
      <c r="W154" s="3" t="n"/>
      <c r="X154" s="2">
        <f>IF(COUNTA(O154:Q154)&lt;3,"",IF(AND(O154=P154,P154=Q154),O154,IF(O154=P154,O154,IF(O154=Q154,O154,IF(P154=Q154,P154,"판정 불능")))))</f>
        <v/>
      </c>
      <c r="Y154" s="2">
        <f>IF(COUNTA(O154:Q154)&lt;3,"",IF(AND(O154=P154,P154=Q154),"3/3",IF(OR(O154=P154,O154=Q154,P154=Q154),"2/3","0/3")))</f>
        <v/>
      </c>
    </row>
    <row r="155">
      <c r="A155" s="2" t="n">
        <v>154</v>
      </c>
      <c r="B155" s="2" t="inlineStr">
        <is>
          <t>W4411080278</t>
        </is>
      </c>
      <c r="C155" s="2" t="inlineStr">
        <is>
          <t>Temperature-Driven Variability in Emergency Diagnost</t>
        </is>
      </c>
      <c r="D155" s="2" t="inlineStr">
        <is>
          <t>custom</t>
        </is>
      </c>
      <c r="E155" s="2" t="n">
        <v>100</v>
      </c>
      <c r="F155" s="2" t="inlineStr">
        <is>
          <t>C</t>
        </is>
      </c>
      <c r="G155" s="2" t="n">
        <v>92.7</v>
      </c>
      <c r="H155" s="2" t="n">
        <v>91.09699999999999</v>
      </c>
      <c r="I155" s="2" t="n">
        <v>94.2</v>
      </c>
      <c r="J155" s="2" t="inlineStr">
        <is>
          <t>1000</t>
        </is>
      </c>
      <c r="K155" s="2" t="inlineStr">
        <is>
          <t>0</t>
        </is>
      </c>
      <c r="L155" s="2" t="inlineStr"/>
      <c r="M155" s="2" t="inlineStr">
        <is>
          <t>편차</t>
        </is>
      </c>
      <c r="N155" s="2" t="inlineStr"/>
      <c r="O155" s="3" t="n"/>
      <c r="P155" s="3" t="n"/>
      <c r="Q155" s="3" t="n"/>
      <c r="R155" s="3" t="n"/>
      <c r="S155" s="3" t="n"/>
      <c r="T155" s="3" t="n"/>
      <c r="U155" s="3" t="n"/>
      <c r="V155" s="3" t="n"/>
      <c r="W155" s="3" t="n"/>
      <c r="X155" s="2">
        <f>IF(COUNTA(O155:Q155)&lt;3,"",IF(AND(O155=P155,P155=Q155),O155,IF(O155=P155,O155,IF(O155=Q155,O155,IF(P155=Q155,P155,"판정 불능")))))</f>
        <v/>
      </c>
      <c r="Y155" s="2">
        <f>IF(COUNTA(O155:Q155)&lt;3,"",IF(AND(O155=P155,P155=Q155),"3/3",IF(OR(O155=P155,O155=Q155,P155=Q155),"2/3","0/3")))</f>
        <v/>
      </c>
    </row>
    <row r="156">
      <c r="A156" s="2" t="n">
        <v>155</v>
      </c>
      <c r="B156" s="2" t="inlineStr">
        <is>
          <t>W4411080278</t>
        </is>
      </c>
      <c r="C156" s="2" t="inlineStr">
        <is>
          <t>Temperature-Driven Variability in Emergency Diagnost</t>
        </is>
      </c>
      <c r="D156" s="2" t="inlineStr">
        <is>
          <t>custom</t>
        </is>
      </c>
      <c r="E156" s="2" t="n">
        <v>100</v>
      </c>
      <c r="F156" s="2" t="inlineStr">
        <is>
          <t>D</t>
        </is>
      </c>
      <c r="G156" s="2" t="n">
        <v>50.3</v>
      </c>
      <c r="H156" s="2" t="n">
        <v>47</v>
      </c>
      <c r="I156" s="2" t="n">
        <v>53.5</v>
      </c>
      <c r="J156" s="2" t="inlineStr">
        <is>
          <t>1000</t>
        </is>
      </c>
      <c r="K156" s="2" t="inlineStr">
        <is>
          <t>0</t>
        </is>
      </c>
      <c r="L156" s="2" t="inlineStr"/>
      <c r="M156" s="2" t="inlineStr">
        <is>
          <t>편차</t>
        </is>
      </c>
      <c r="N156" s="2" t="inlineStr"/>
      <c r="O156" s="3" t="n"/>
      <c r="P156" s="3" t="n"/>
      <c r="Q156" s="3" t="n"/>
      <c r="R156" s="3" t="n"/>
      <c r="S156" s="3" t="n"/>
      <c r="T156" s="3" t="n"/>
      <c r="U156" s="3" t="n"/>
      <c r="V156" s="3" t="n"/>
      <c r="W156" s="3" t="n"/>
      <c r="X156" s="2">
        <f>IF(COUNTA(O156:Q156)&lt;3,"",IF(AND(O156=P156,P156=Q156),O156,IF(O156=P156,O156,IF(O156=Q156,O156,IF(P156=Q156,P156,"판정 불능")))))</f>
        <v/>
      </c>
      <c r="Y156" s="2">
        <f>IF(COUNTA(O156:Q156)&lt;3,"",IF(AND(O156=P156,P156=Q156),"3/3",IF(OR(O156=P156,O156=Q156,P156=Q156),"2/3","0/3")))</f>
        <v/>
      </c>
    </row>
    <row r="157">
      <c r="A157" s="2" t="n">
        <v>156</v>
      </c>
      <c r="B157" s="2" t="inlineStr">
        <is>
          <t>W4411080278</t>
        </is>
      </c>
      <c r="C157" s="2" t="inlineStr">
        <is>
          <t>Temperature-Driven Variability in Emergency Diagnost</t>
        </is>
      </c>
      <c r="D157" s="2" t="inlineStr">
        <is>
          <t>custom</t>
        </is>
      </c>
      <c r="E157" s="2" t="n">
        <v>100</v>
      </c>
      <c r="F157" s="2" t="inlineStr">
        <is>
          <t>E</t>
        </is>
      </c>
      <c r="G157" s="2" t="n">
        <v>25</v>
      </c>
      <c r="H157" s="2" t="n">
        <v>22.4</v>
      </c>
      <c r="I157" s="2" t="n">
        <v>27.6</v>
      </c>
      <c r="J157" s="2" t="n">
        <v>1000</v>
      </c>
      <c r="K157" s="2" t="n">
        <v>0</v>
      </c>
      <c r="L157" s="2" t="inlineStr"/>
      <c r="M157" s="2" t="inlineStr">
        <is>
          <t>편차</t>
        </is>
      </c>
      <c r="N157" s="2" t="inlineStr"/>
      <c r="O157" s="3" t="n"/>
      <c r="P157" s="3" t="n"/>
      <c r="Q157" s="3" t="n"/>
      <c r="R157" s="3" t="n"/>
      <c r="S157" s="3" t="n"/>
      <c r="T157" s="3" t="n"/>
      <c r="U157" s="3" t="n"/>
      <c r="V157" s="3" t="n"/>
      <c r="W157" s="3" t="n"/>
      <c r="X157" s="2">
        <f>IF(COUNTA(O157:Q157)&lt;3,"",IF(AND(O157=P157,P157=Q157),O157,IF(O157=P157,O157,IF(O157=Q157,O157,IF(P157=Q157,P157,"판정 불능")))))</f>
        <v/>
      </c>
      <c r="Y157" s="2">
        <f>IF(COUNTA(O157:Q157)&lt;3,"",IF(AND(O157=P157,P157=Q157),"3/3",IF(OR(O157=P157,O157=Q157,P157=Q157),"2/3","0/3")))</f>
        <v/>
      </c>
    </row>
    <row r="158">
      <c r="A158" s="2" t="n">
        <v>157</v>
      </c>
      <c r="B158" s="2" t="inlineStr">
        <is>
          <t>W4411112894</t>
        </is>
      </c>
      <c r="C158" s="2" t="inlineStr">
        <is>
          <t>The Promises and Pitfalls of LLM Annotations in Data</t>
        </is>
      </c>
      <c r="D158" s="2" t="inlineStr">
        <is>
          <t>custom</t>
        </is>
      </c>
      <c r="E158" s="2" t="n">
        <v>0.6830000000000001</v>
      </c>
      <c r="F158" s="2" t="inlineStr">
        <is>
          <t>A</t>
        </is>
      </c>
      <c r="G158" s="2" t="n">
        <v>0.667</v>
      </c>
      <c r="H158" s="2" t="n">
        <v>0.637</v>
      </c>
      <c r="I158" s="2" t="n">
        <v>0.697</v>
      </c>
      <c r="J158" s="2" t="inlineStr">
        <is>
          <t>2283</t>
        </is>
      </c>
      <c r="K158" s="2" t="inlineStr">
        <is>
          <t>0</t>
        </is>
      </c>
      <c r="L158" s="2" t="inlineStr">
        <is>
          <t>예</t>
        </is>
      </c>
      <c r="M158" s="2" t="inlineStr">
        <is>
          <t>재현</t>
        </is>
      </c>
      <c r="N158" s="2" t="inlineStr"/>
      <c r="O158" s="3" t="n"/>
      <c r="P158" s="3" t="n"/>
      <c r="Q158" s="3" t="n"/>
      <c r="R158" s="3" t="n"/>
      <c r="S158" s="3" t="n"/>
      <c r="T158" s="3" t="n"/>
      <c r="U158" s="3" t="n"/>
      <c r="V158" s="3" t="n"/>
      <c r="W158" s="3" t="n"/>
      <c r="X158" s="2">
        <f>IF(COUNTA(O158:Q158)&lt;3,"",IF(AND(O158=P158,P158=Q158),O158,IF(O158=P158,O158,IF(O158=Q158,O158,IF(P158=Q158,P158,"판정 불능")))))</f>
        <v/>
      </c>
      <c r="Y158" s="2">
        <f>IF(COUNTA(O158:Q158)&lt;3,"",IF(AND(O158=P158,P158=Q158),"3/3",IF(OR(O158=P158,O158=Q158,P158=Q158),"2/3","0/3")))</f>
        <v/>
      </c>
    </row>
    <row r="159">
      <c r="A159" s="2" t="n">
        <v>158</v>
      </c>
      <c r="B159" s="2" t="inlineStr">
        <is>
          <t>W4411112894</t>
        </is>
      </c>
      <c r="C159" s="2" t="inlineStr">
        <is>
          <t>The Promises and Pitfalls of LLM Annotations in Data</t>
        </is>
      </c>
      <c r="D159" s="2" t="inlineStr">
        <is>
          <t>custom</t>
        </is>
      </c>
      <c r="E159" s="2" t="n">
        <v>0.6830000000000001</v>
      </c>
      <c r="F159" s="2" t="inlineStr">
        <is>
          <t>B</t>
        </is>
      </c>
      <c r="G159" s="2" t="n">
        <v>0.712</v>
      </c>
      <c r="H159" s="2" t="n">
        <v>0.663</v>
      </c>
      <c r="I159" s="2" t="n">
        <v>0.755</v>
      </c>
      <c r="J159" s="2" t="inlineStr">
        <is>
          <t>882</t>
        </is>
      </c>
      <c r="K159" s="2" t="inlineStr">
        <is>
          <t>0</t>
        </is>
      </c>
      <c r="L159" s="2" t="inlineStr">
        <is>
          <t>예</t>
        </is>
      </c>
      <c r="M159" s="2" t="inlineStr">
        <is>
          <t>재현</t>
        </is>
      </c>
      <c r="N159" s="2" t="inlineStr"/>
      <c r="O159" s="3" t="n"/>
      <c r="P159" s="3" t="n"/>
      <c r="Q159" s="3" t="n"/>
      <c r="R159" s="3" t="n"/>
      <c r="S159" s="3" t="n"/>
      <c r="T159" s="3" t="n"/>
      <c r="U159" s="3" t="n"/>
      <c r="V159" s="3" t="n"/>
      <c r="W159" s="3" t="n"/>
      <c r="X159" s="2">
        <f>IF(COUNTA(O159:Q159)&lt;3,"",IF(AND(O159=P159,P159=Q159),O159,IF(O159=P159,O159,IF(O159=Q159,O159,IF(P159=Q159,P159,"판정 불능")))))</f>
        <v/>
      </c>
      <c r="Y159" s="2">
        <f>IF(COUNTA(O159:Q159)&lt;3,"",IF(AND(O159=P159,P159=Q159),"3/3",IF(OR(O159=P159,O159=Q159,P159=Q159),"2/3","0/3")))</f>
        <v/>
      </c>
    </row>
    <row r="160">
      <c r="A160" s="2" t="n">
        <v>159</v>
      </c>
      <c r="B160" s="2" t="inlineStr">
        <is>
          <t>W4411112894</t>
        </is>
      </c>
      <c r="C160" s="2" t="inlineStr">
        <is>
          <t>The Promises and Pitfalls of LLM Annotations in Data</t>
        </is>
      </c>
      <c r="D160" s="2" t="inlineStr">
        <is>
          <t>custom</t>
        </is>
      </c>
      <c r="E160" s="2" t="n">
        <v>0.6830000000000001</v>
      </c>
      <c r="F160" s="2" t="inlineStr">
        <is>
          <t>C</t>
        </is>
      </c>
      <c r="G160" s="2" t="n">
        <v>0.6323260253970066</v>
      </c>
      <c r="H160" s="2" t="n">
        <v>0.5977006720399974</v>
      </c>
      <c r="I160" s="2" t="n">
        <v>0.6850177663622371</v>
      </c>
      <c r="J160" s="2" t="n">
        <v>1027</v>
      </c>
      <c r="K160" s="2" t="n">
        <v>9</v>
      </c>
      <c r="L160" s="2" t="inlineStr">
        <is>
          <t>예</t>
        </is>
      </c>
      <c r="M160" s="2" t="inlineStr">
        <is>
          <t>재현</t>
        </is>
      </c>
      <c r="N160" s="2" t="inlineStr"/>
      <c r="O160" s="3" t="n"/>
      <c r="P160" s="3" t="n"/>
      <c r="Q160" s="3" t="n"/>
      <c r="R160" s="3" t="n"/>
      <c r="S160" s="3" t="n"/>
      <c r="T160" s="3" t="n"/>
      <c r="U160" s="3" t="n"/>
      <c r="V160" s="3" t="n"/>
      <c r="W160" s="3" t="n"/>
      <c r="X160" s="2">
        <f>IF(COUNTA(O160:Q160)&lt;3,"",IF(AND(O160=P160,P160=Q160),O160,IF(O160=P160,O160,IF(O160=Q160,O160,IF(P160=Q160,P160,"판정 불능")))))</f>
        <v/>
      </c>
      <c r="Y160" s="2">
        <f>IF(COUNTA(O160:Q160)&lt;3,"",IF(AND(O160=P160,P160=Q160),"3/3",IF(OR(O160=P160,O160=Q160,P160=Q160),"2/3","0/3")))</f>
        <v/>
      </c>
    </row>
    <row r="161">
      <c r="A161" s="2" t="n">
        <v>160</v>
      </c>
      <c r="B161" s="2" t="inlineStr">
        <is>
          <t>W4411112894</t>
        </is>
      </c>
      <c r="C161" s="2" t="inlineStr">
        <is>
          <t>The Promises and Pitfalls of LLM Annotations in Data</t>
        </is>
      </c>
      <c r="D161" s="2" t="inlineStr">
        <is>
          <t>custom</t>
        </is>
      </c>
      <c r="E161" s="2" t="n">
        <v>0.6830000000000001</v>
      </c>
      <c r="F161" s="2" t="inlineStr">
        <is>
          <t>D</t>
        </is>
      </c>
      <c r="G161" s="2" t="n">
        <v>0.72</v>
      </c>
      <c r="H161" s="2" t="n">
        <v>0.679</v>
      </c>
      <c r="I161" s="2" t="n">
        <v>0.757</v>
      </c>
      <c r="J161" s="2" t="inlineStr">
        <is>
          <t>1266</t>
        </is>
      </c>
      <c r="K161" s="2" t="inlineStr">
        <is>
          <t>0</t>
        </is>
      </c>
      <c r="L161" s="2" t="inlineStr">
        <is>
          <t>예</t>
        </is>
      </c>
      <c r="M161" s="2" t="inlineStr">
        <is>
          <t>재현</t>
        </is>
      </c>
      <c r="N161" s="2" t="inlineStr"/>
      <c r="O161" s="3" t="n"/>
      <c r="P161" s="3" t="n"/>
      <c r="Q161" s="3" t="n"/>
      <c r="R161" s="3" t="n"/>
      <c r="S161" s="3" t="n"/>
      <c r="T161" s="3" t="n"/>
      <c r="U161" s="3" t="n"/>
      <c r="V161" s="3" t="n"/>
      <c r="W161" s="3" t="n"/>
      <c r="X161" s="2">
        <f>IF(COUNTA(O161:Q161)&lt;3,"",IF(AND(O161=P161,P161=Q161),O161,IF(O161=P161,O161,IF(O161=Q161,O161,IF(P161=Q161,P161,"판정 불능")))))</f>
        <v/>
      </c>
      <c r="Y161" s="2">
        <f>IF(COUNTA(O161:Q161)&lt;3,"",IF(AND(O161=P161,P161=Q161),"3/3",IF(OR(O161=P161,O161=Q161,P161=Q161),"2/3","0/3")))</f>
        <v/>
      </c>
    </row>
    <row r="162">
      <c r="A162" s="2" t="n">
        <v>161</v>
      </c>
      <c r="B162" s="2" t="inlineStr">
        <is>
          <t>W4411112894</t>
        </is>
      </c>
      <c r="C162" s="2" t="inlineStr">
        <is>
          <t>The Promises and Pitfalls of LLM Annotations in Data</t>
        </is>
      </c>
      <c r="D162" s="2" t="inlineStr">
        <is>
          <t>custom</t>
        </is>
      </c>
      <c r="E162" s="2" t="n">
        <v>0.6830000000000001</v>
      </c>
      <c r="F162" s="2" t="inlineStr">
        <is>
          <t>E</t>
        </is>
      </c>
      <c r="G162" s="2" t="n">
        <v>0.777</v>
      </c>
      <c r="H162" s="2" t="n">
        <v>0.748</v>
      </c>
      <c r="I162" s="2" t="n">
        <v>0.8090000000000001</v>
      </c>
      <c r="J162" s="2" t="inlineStr">
        <is>
          <t>1624</t>
        </is>
      </c>
      <c r="K162" s="2" t="inlineStr">
        <is>
          <t>0</t>
        </is>
      </c>
      <c r="L162" s="2" t="inlineStr">
        <is>
          <t>예</t>
        </is>
      </c>
      <c r="M162" s="2" t="inlineStr">
        <is>
          <t>편차</t>
        </is>
      </c>
      <c r="N162" s="2" t="inlineStr"/>
      <c r="O162" s="3" t="n"/>
      <c r="P162" s="3" t="n"/>
      <c r="Q162" s="3" t="n"/>
      <c r="R162" s="3" t="n"/>
      <c r="S162" s="3" t="n"/>
      <c r="T162" s="3" t="n"/>
      <c r="U162" s="3" t="n"/>
      <c r="V162" s="3" t="n"/>
      <c r="W162" s="3" t="n"/>
      <c r="X162" s="2">
        <f>IF(COUNTA(O162:Q162)&lt;3,"",IF(AND(O162=P162,P162=Q162),O162,IF(O162=P162,O162,IF(O162=Q162,O162,IF(P162=Q162,P162,"판정 불능")))))</f>
        <v/>
      </c>
      <c r="Y162" s="2">
        <f>IF(COUNTA(O162:Q162)&lt;3,"",IF(AND(O162=P162,P162=Q162),"3/3",IF(OR(O162=P162,O162=Q162,P162=Q162),"2/3","0/3")))</f>
        <v/>
      </c>
    </row>
    <row r="163">
      <c r="A163" s="2" t="n">
        <v>162</v>
      </c>
      <c r="B163" s="2" t="inlineStr">
        <is>
          <t>W4411119263</t>
        </is>
      </c>
      <c r="C163" s="2" t="inlineStr">
        <is>
          <t>ReIFE: Re-evaluating Instruction-Following Evaluatio</t>
        </is>
      </c>
      <c r="D163" s="2" t="inlineStr">
        <is>
          <t>custom</t>
        </is>
      </c>
      <c r="E163" s="2" t="n">
        <v>84</v>
      </c>
      <c r="F163" s="2" t="inlineStr">
        <is>
          <t>A</t>
        </is>
      </c>
      <c r="G163" s="2" t="n">
        <v>84.39265134353859</v>
      </c>
      <c r="H163" s="2" t="n">
        <v>81.20838635457901</v>
      </c>
      <c r="I163" s="2" t="n">
        <v>87.23190993514939</v>
      </c>
      <c r="J163" s="2" t="n">
        <v>2060</v>
      </c>
      <c r="K163" s="2" t="n">
        <v>0</v>
      </c>
      <c r="L163" s="2" t="inlineStr"/>
      <c r="M163" s="2" t="inlineStr">
        <is>
          <t>재현</t>
        </is>
      </c>
      <c r="N163" s="2" t="inlineStr"/>
      <c r="O163" s="3" t="n"/>
      <c r="P163" s="3" t="n"/>
      <c r="Q163" s="3" t="n"/>
      <c r="R163" s="3" t="n"/>
      <c r="S163" s="3" t="n"/>
      <c r="T163" s="3" t="n"/>
      <c r="U163" s="3" t="n"/>
      <c r="V163" s="3" t="n"/>
      <c r="W163" s="3" t="n"/>
      <c r="X163" s="2">
        <f>IF(COUNTA(O163:Q163)&lt;3,"",IF(AND(O163=P163,P163=Q163),O163,IF(O163=P163,O163,IF(O163=Q163,O163,IF(P163=Q163,P163,"판정 불능")))))</f>
        <v/>
      </c>
      <c r="Y163" s="2">
        <f>IF(COUNTA(O163:Q163)&lt;3,"",IF(AND(O163=P163,P163=Q163),"3/3",IF(OR(O163=P163,O163=Q163,P163=Q163),"2/3","0/3")))</f>
        <v/>
      </c>
    </row>
    <row r="164">
      <c r="A164" s="2" t="n">
        <v>163</v>
      </c>
      <c r="B164" s="2" t="inlineStr">
        <is>
          <t>W4411119263</t>
        </is>
      </c>
      <c r="C164" s="2" t="inlineStr">
        <is>
          <t>ReIFE: Re-evaluating Instruction-Following Evaluatio</t>
        </is>
      </c>
      <c r="D164" s="2" t="inlineStr">
        <is>
          <t>custom</t>
        </is>
      </c>
      <c r="E164" s="2" t="n">
        <v>84</v>
      </c>
      <c r="F164" s="2" t="inlineStr">
        <is>
          <t>B</t>
        </is>
      </c>
      <c r="G164" s="2" t="n">
        <v>86.87</v>
      </c>
      <c r="H164" s="2" t="n">
        <v>84.09699999999999</v>
      </c>
      <c r="I164" s="2" t="n">
        <v>89.58199999999999</v>
      </c>
      <c r="J164" s="2" t="inlineStr">
        <is>
          <t>2060</t>
        </is>
      </c>
      <c r="K164" s="2" t="inlineStr">
        <is>
          <t>0</t>
        </is>
      </c>
      <c r="L164" s="2" t="inlineStr"/>
      <c r="M164" s="2" t="inlineStr">
        <is>
          <t>근접</t>
        </is>
      </c>
      <c r="N164" s="2" t="inlineStr"/>
      <c r="O164" s="3" t="n"/>
      <c r="P164" s="3" t="n"/>
      <c r="Q164" s="3" t="n"/>
      <c r="R164" s="3" t="n"/>
      <c r="S164" s="3" t="n"/>
      <c r="T164" s="3" t="n"/>
      <c r="U164" s="3" t="n"/>
      <c r="V164" s="3" t="n"/>
      <c r="W164" s="3" t="n"/>
      <c r="X164" s="2">
        <f>IF(COUNTA(O164:Q164)&lt;3,"",IF(AND(O164=P164,P164=Q164),O164,IF(O164=P164,O164,IF(O164=Q164,O164,IF(P164=Q164,P164,"판정 불능")))))</f>
        <v/>
      </c>
      <c r="Y164" s="2">
        <f>IF(COUNTA(O164:Q164)&lt;3,"",IF(AND(O164=P164,P164=Q164),"3/3",IF(OR(O164=P164,O164=Q164,P164=Q164),"2/3","0/3")))</f>
        <v/>
      </c>
    </row>
    <row r="165">
      <c r="A165" s="2" t="n">
        <v>164</v>
      </c>
      <c r="B165" s="2" t="inlineStr">
        <is>
          <t>W4411119343</t>
        </is>
      </c>
      <c r="C165" s="2" t="inlineStr">
        <is>
          <t>Are LLM-Judges Robust to Expressions of Uncertainty?</t>
        </is>
      </c>
      <c r="D165" s="2" t="inlineStr">
        <is>
          <t>accuracy</t>
        </is>
      </c>
      <c r="E165" s="2" t="n">
        <v>83.8</v>
      </c>
      <c r="F165" s="2" t="inlineStr">
        <is>
          <t>A</t>
        </is>
      </c>
      <c r="G165" s="2" t="n">
        <v>82.48699999999999</v>
      </c>
      <c r="H165" s="2" t="n">
        <v>78.68000000000001</v>
      </c>
      <c r="I165" s="2" t="n">
        <v>86.041</v>
      </c>
      <c r="J165" s="2" t="inlineStr">
        <is>
          <t>394</t>
        </is>
      </c>
      <c r="K165" s="2" t="inlineStr">
        <is>
          <t>0</t>
        </is>
      </c>
      <c r="L165" s="2" t="inlineStr"/>
      <c r="M165" s="2" t="inlineStr">
        <is>
          <t>재현</t>
        </is>
      </c>
      <c r="N165" s="2" t="inlineStr"/>
      <c r="O165" s="3" t="n"/>
      <c r="P165" s="3" t="n"/>
      <c r="Q165" s="3" t="n"/>
      <c r="R165" s="3" t="n"/>
      <c r="S165" s="3" t="n"/>
      <c r="T165" s="3" t="n"/>
      <c r="U165" s="3" t="n"/>
      <c r="V165" s="3" t="n"/>
      <c r="W165" s="3" t="n"/>
      <c r="X165" s="2">
        <f>IF(COUNTA(O165:Q165)&lt;3,"",IF(AND(O165=P165,P165=Q165),O165,IF(O165=P165,O165,IF(O165=Q165,O165,IF(P165=Q165,P165,"판정 불능")))))</f>
        <v/>
      </c>
      <c r="Y165" s="2">
        <f>IF(COUNTA(O165:Q165)&lt;3,"",IF(AND(O165=P165,P165=Q165),"3/3",IF(OR(O165=P165,O165=Q165,P165=Q165),"2/3","0/3")))</f>
        <v/>
      </c>
    </row>
    <row r="166">
      <c r="A166" s="2" t="n">
        <v>165</v>
      </c>
      <c r="B166" s="2" t="inlineStr">
        <is>
          <t>W4411119343</t>
        </is>
      </c>
      <c r="C166" s="2" t="inlineStr">
        <is>
          <t>Are LLM-Judges Robust to Expressions of Uncertainty?</t>
        </is>
      </c>
      <c r="D166" s="2" t="inlineStr">
        <is>
          <t>accuracy</t>
        </is>
      </c>
      <c r="E166" s="2" t="n">
        <v>83.8</v>
      </c>
      <c r="F166" s="2" t="inlineStr">
        <is>
          <t>B</t>
        </is>
      </c>
      <c r="G166" s="2" t="n">
        <v>81.98</v>
      </c>
      <c r="H166" s="2" t="n">
        <v>78.173</v>
      </c>
      <c r="I166" s="2" t="n">
        <v>85.533</v>
      </c>
      <c r="J166" s="2" t="inlineStr">
        <is>
          <t>394</t>
        </is>
      </c>
      <c r="K166" s="2" t="inlineStr">
        <is>
          <t>0</t>
        </is>
      </c>
      <c r="L166" s="2" t="inlineStr"/>
      <c r="M166" s="2" t="inlineStr">
        <is>
          <t>재현</t>
        </is>
      </c>
      <c r="N166" s="2" t="inlineStr"/>
      <c r="O166" s="3" t="n"/>
      <c r="P166" s="3" t="n"/>
      <c r="Q166" s="3" t="n"/>
      <c r="R166" s="3" t="n"/>
      <c r="S166" s="3" t="n"/>
      <c r="T166" s="3" t="n"/>
      <c r="U166" s="3" t="n"/>
      <c r="V166" s="3" t="n"/>
      <c r="W166" s="3" t="n"/>
      <c r="X166" s="2">
        <f>IF(COUNTA(O166:Q166)&lt;3,"",IF(AND(O166=P166,P166=Q166),O166,IF(O166=P166,O166,IF(O166=Q166,O166,IF(P166=Q166,P166,"판정 불능")))))</f>
        <v/>
      </c>
      <c r="Y166" s="2">
        <f>IF(COUNTA(O166:Q166)&lt;3,"",IF(AND(O166=P166,P166=Q166),"3/3",IF(OR(O166=P166,O166=Q166,P166=Q166),"2/3","0/3")))</f>
        <v/>
      </c>
    </row>
    <row r="167">
      <c r="A167" s="2" t="n">
        <v>166</v>
      </c>
      <c r="B167" s="2" t="inlineStr">
        <is>
          <t>W4411119343</t>
        </is>
      </c>
      <c r="C167" s="2" t="inlineStr">
        <is>
          <t>Are LLM-Judges Robust to Expressions of Uncertainty?</t>
        </is>
      </c>
      <c r="D167" s="2" t="inlineStr">
        <is>
          <t>accuracy</t>
        </is>
      </c>
      <c r="E167" s="2" t="n">
        <v>83.8</v>
      </c>
      <c r="F167" s="2" t="inlineStr">
        <is>
          <t>C</t>
        </is>
      </c>
      <c r="G167" s="2" t="n">
        <v>85.279</v>
      </c>
      <c r="H167" s="2" t="n">
        <v>81.726</v>
      </c>
      <c r="I167" s="2" t="n">
        <v>88.83199999999999</v>
      </c>
      <c r="J167" s="2" t="inlineStr">
        <is>
          <t>394</t>
        </is>
      </c>
      <c r="K167" s="2" t="inlineStr">
        <is>
          <t>0</t>
        </is>
      </c>
      <c r="L167" s="2" t="inlineStr"/>
      <c r="M167" s="2" t="inlineStr">
        <is>
          <t>재현</t>
        </is>
      </c>
      <c r="N167" s="2" t="inlineStr"/>
      <c r="O167" s="3" t="n"/>
      <c r="P167" s="3" t="n"/>
      <c r="Q167" s="3" t="n"/>
      <c r="R167" s="3" t="n"/>
      <c r="S167" s="3" t="n"/>
      <c r="T167" s="3" t="n"/>
      <c r="U167" s="3" t="n"/>
      <c r="V167" s="3" t="n"/>
      <c r="W167" s="3" t="n"/>
      <c r="X167" s="2">
        <f>IF(COUNTA(O167:Q167)&lt;3,"",IF(AND(O167=P167,P167=Q167),O167,IF(O167=P167,O167,IF(O167=Q167,O167,IF(P167=Q167,P167,"판정 불능")))))</f>
        <v/>
      </c>
      <c r="Y167" s="2">
        <f>IF(COUNTA(O167:Q167)&lt;3,"",IF(AND(O167=P167,P167=Q167),"3/3",IF(OR(O167=P167,O167=Q167,P167=Q167),"2/3","0/3")))</f>
        <v/>
      </c>
    </row>
    <row r="168">
      <c r="A168" s="2" t="n">
        <v>167</v>
      </c>
      <c r="B168" s="2" t="inlineStr">
        <is>
          <t>W4411119343</t>
        </is>
      </c>
      <c r="C168" s="2" t="inlineStr">
        <is>
          <t>Are LLM-Judges Robust to Expressions of Uncertainty?</t>
        </is>
      </c>
      <c r="D168" s="2" t="inlineStr">
        <is>
          <t>accuracy</t>
        </is>
      </c>
      <c r="E168" s="2" t="n">
        <v>83.8</v>
      </c>
      <c r="F168" s="2" t="inlineStr">
        <is>
          <t>D</t>
        </is>
      </c>
      <c r="G168" s="2" t="n">
        <v>82.74111675126903</v>
      </c>
      <c r="H168" s="2" t="n">
        <v>78.93401015228426</v>
      </c>
      <c r="I168" s="2" t="n">
        <v>86.29441624365482</v>
      </c>
      <c r="J168" s="2" t="n">
        <v>394</v>
      </c>
      <c r="K168" s="2" t="n">
        <v>0</v>
      </c>
      <c r="L168" s="2" t="inlineStr"/>
      <c r="M168" s="2" t="inlineStr">
        <is>
          <t>재현</t>
        </is>
      </c>
      <c r="N168" s="2" t="inlineStr"/>
      <c r="O168" s="3" t="n"/>
      <c r="P168" s="3" t="n"/>
      <c r="Q168" s="3" t="n"/>
      <c r="R168" s="3" t="n"/>
      <c r="S168" s="3" t="n"/>
      <c r="T168" s="3" t="n"/>
      <c r="U168" s="3" t="n"/>
      <c r="V168" s="3" t="n"/>
      <c r="W168" s="3" t="n"/>
      <c r="X168" s="2">
        <f>IF(COUNTA(O168:Q168)&lt;3,"",IF(AND(O168=P168,P168=Q168),O168,IF(O168=P168,O168,IF(O168=Q168,O168,IF(P168=Q168,P168,"판정 불능")))))</f>
        <v/>
      </c>
      <c r="Y168" s="2">
        <f>IF(COUNTA(O168:Q168)&lt;3,"",IF(AND(O168=P168,P168=Q168),"3/3",IF(OR(O168=P168,O168=Q168,P168=Q168),"2/3","0/3")))</f>
        <v/>
      </c>
    </row>
    <row r="169">
      <c r="A169" s="2" t="n">
        <v>168</v>
      </c>
      <c r="B169" s="2" t="inlineStr">
        <is>
          <t>W4411119343</t>
        </is>
      </c>
      <c r="C169" s="2" t="inlineStr">
        <is>
          <t>Are LLM-Judges Robust to Expressions of Uncertainty?</t>
        </is>
      </c>
      <c r="D169" s="2" t="inlineStr">
        <is>
          <t>accuracy</t>
        </is>
      </c>
      <c r="E169" s="2" t="n">
        <v>83.8</v>
      </c>
      <c r="F169" s="2" t="inlineStr">
        <is>
          <t>E</t>
        </is>
      </c>
      <c r="G169" s="2" t="n">
        <v>85.78700000000001</v>
      </c>
      <c r="H169" s="2" t="n">
        <v>82.48699999999999</v>
      </c>
      <c r="I169" s="2" t="n">
        <v>89.086</v>
      </c>
      <c r="J169" s="2" t="inlineStr">
        <is>
          <t>394</t>
        </is>
      </c>
      <c r="K169" s="2" t="inlineStr">
        <is>
          <t>0</t>
        </is>
      </c>
      <c r="L169" s="2" t="inlineStr"/>
      <c r="M169" s="2" t="inlineStr">
        <is>
          <t>재현</t>
        </is>
      </c>
      <c r="N169" s="2" t="inlineStr"/>
      <c r="O169" s="3" t="n"/>
      <c r="P169" s="3" t="n"/>
      <c r="Q169" s="3" t="n"/>
      <c r="R169" s="3" t="n"/>
      <c r="S169" s="3" t="n"/>
      <c r="T169" s="3" t="n"/>
      <c r="U169" s="3" t="n"/>
      <c r="V169" s="3" t="n"/>
      <c r="W169" s="3" t="n"/>
      <c r="X169" s="2">
        <f>IF(COUNTA(O169:Q169)&lt;3,"",IF(AND(O169=P169,P169=Q169),O169,IF(O169=P169,O169,IF(O169=Q169,O169,IF(P169=Q169,P169,"판정 불능")))))</f>
        <v/>
      </c>
      <c r="Y169" s="2">
        <f>IF(COUNTA(O169:Q169)&lt;3,"",IF(AND(O169=P169,P169=Q169),"3/3",IF(OR(O169=P169,O169=Q169,P169=Q169),"2/3","0/3")))</f>
        <v/>
      </c>
    </row>
    <row r="170">
      <c r="A170" s="2" t="n">
        <v>169</v>
      </c>
      <c r="B170" s="2" t="inlineStr">
        <is>
          <t>W4411119490</t>
        </is>
      </c>
      <c r="C170" s="2" t="inlineStr">
        <is>
          <t>Are We Done with MMLU?</t>
        </is>
      </c>
      <c r="D170" s="2" t="inlineStr">
        <is>
          <t>custom</t>
        </is>
      </c>
      <c r="E170" s="2" t="n">
        <v>22.7</v>
      </c>
      <c r="F170" s="2" t="inlineStr">
        <is>
          <t>A</t>
        </is>
      </c>
      <c r="G170" s="2" t="n">
        <v>35.963</v>
      </c>
      <c r="H170" s="2" t="n">
        <v>30.797</v>
      </c>
      <c r="I170" s="2" t="n">
        <v>40.897</v>
      </c>
      <c r="J170" s="2" t="inlineStr">
        <is>
          <t>3000</t>
        </is>
      </c>
      <c r="K170" s="2" t="inlineStr">
        <is>
          <t>0</t>
        </is>
      </c>
      <c r="L170" s="2" t="inlineStr"/>
      <c r="M170" s="2" t="inlineStr">
        <is>
          <t>편차</t>
        </is>
      </c>
      <c r="N170" s="2" t="inlineStr"/>
      <c r="O170" s="3" t="n"/>
      <c r="P170" s="3" t="n"/>
      <c r="Q170" s="3" t="n"/>
      <c r="R170" s="3" t="n"/>
      <c r="S170" s="3" t="n"/>
      <c r="T170" s="3" t="n"/>
      <c r="U170" s="3" t="n"/>
      <c r="V170" s="3" t="n"/>
      <c r="W170" s="3" t="n"/>
      <c r="X170" s="2">
        <f>IF(COUNTA(O170:Q170)&lt;3,"",IF(AND(O170=P170,P170=Q170),O170,IF(O170=P170,O170,IF(O170=Q170,O170,IF(P170=Q170,P170,"판정 불능")))))</f>
        <v/>
      </c>
      <c r="Y170" s="2">
        <f>IF(COUNTA(O170:Q170)&lt;3,"",IF(AND(O170=P170,P170=Q170),"3/3",IF(OR(O170=P170,O170=Q170,P170=Q170),"2/3","0/3")))</f>
        <v/>
      </c>
    </row>
    <row r="171">
      <c r="A171" s="2" t="n">
        <v>170</v>
      </c>
      <c r="B171" s="2" t="inlineStr">
        <is>
          <t>W4411119490</t>
        </is>
      </c>
      <c r="C171" s="2" t="inlineStr">
        <is>
          <t>Are We Done with MMLU?</t>
        </is>
      </c>
      <c r="D171" s="2" t="inlineStr">
        <is>
          <t>custom</t>
        </is>
      </c>
      <c r="E171" s="2" t="n">
        <v>22.7</v>
      </c>
      <c r="F171" s="2" t="inlineStr">
        <is>
          <t>B</t>
        </is>
      </c>
      <c r="G171" s="2" t="n">
        <v>25.62724014336917</v>
      </c>
      <c r="H171" s="2" t="n">
        <v>22.41808864416944</v>
      </c>
      <c r="I171" s="2" t="n">
        <v>28.63544194761264</v>
      </c>
      <c r="J171" s="2" t="n">
        <v>3000</v>
      </c>
      <c r="K171" s="2" t="n">
        <v>0</v>
      </c>
      <c r="L171" s="2" t="inlineStr"/>
      <c r="M171" s="2" t="inlineStr">
        <is>
          <t>재현</t>
        </is>
      </c>
      <c r="N171" s="2" t="inlineStr"/>
      <c r="O171" s="3" t="n"/>
      <c r="P171" s="3" t="n"/>
      <c r="Q171" s="3" t="n"/>
      <c r="R171" s="3" t="n"/>
      <c r="S171" s="3" t="n"/>
      <c r="T171" s="3" t="n"/>
      <c r="U171" s="3" t="n"/>
      <c r="V171" s="3" t="n"/>
      <c r="W171" s="3" t="n"/>
      <c r="X171" s="2">
        <f>IF(COUNTA(O171:Q171)&lt;3,"",IF(AND(O171=P171,P171=Q171),O171,IF(O171=P171,O171,IF(O171=Q171,O171,IF(P171=Q171,P171,"판정 불능")))))</f>
        <v/>
      </c>
      <c r="Y171" s="2">
        <f>IF(COUNTA(O171:Q171)&lt;3,"",IF(AND(O171=P171,P171=Q171),"3/3",IF(OR(O171=P171,O171=Q171,P171=Q171),"2/3","0/3")))</f>
        <v/>
      </c>
    </row>
    <row r="172">
      <c r="A172" s="2" t="n">
        <v>171</v>
      </c>
      <c r="B172" s="2" t="inlineStr">
        <is>
          <t>W4411119711</t>
        </is>
      </c>
      <c r="C172" s="2" t="inlineStr">
        <is>
          <t>FaithBench: A Diverse Hallucination Benchmark for Su</t>
        </is>
      </c>
      <c r="D172" s="2" t="inlineStr">
        <is>
          <t>custom</t>
        </is>
      </c>
      <c r="E172" s="2" t="n">
        <v>55.96</v>
      </c>
      <c r="F172" s="2" t="inlineStr">
        <is>
          <t>A</t>
        </is>
      </c>
      <c r="G172" s="2" t="n">
        <v>55.415</v>
      </c>
      <c r="H172" s="2" t="n">
        <v>53.199</v>
      </c>
      <c r="I172" s="2" t="n">
        <v>57.491</v>
      </c>
      <c r="J172" s="2" t="inlineStr">
        <is>
          <t>750</t>
        </is>
      </c>
      <c r="K172" s="2" t="inlineStr">
        <is>
          <t>0</t>
        </is>
      </c>
      <c r="L172" s="2" t="inlineStr"/>
      <c r="M172" s="2" t="inlineStr">
        <is>
          <t>재현</t>
        </is>
      </c>
      <c r="N172" s="2" t="inlineStr"/>
      <c r="O172" s="3" t="n"/>
      <c r="P172" s="3" t="n"/>
      <c r="Q172" s="3" t="n"/>
      <c r="R172" s="3" t="n"/>
      <c r="S172" s="3" t="n"/>
      <c r="T172" s="3" t="n"/>
      <c r="U172" s="3" t="n"/>
      <c r="V172" s="3" t="n"/>
      <c r="W172" s="3" t="n"/>
      <c r="X172" s="2">
        <f>IF(COUNTA(O172:Q172)&lt;3,"",IF(AND(O172=P172,P172=Q172),O172,IF(O172=P172,O172,IF(O172=Q172,O172,IF(P172=Q172,P172,"판정 불능")))))</f>
        <v/>
      </c>
      <c r="Y172" s="2">
        <f>IF(COUNTA(O172:Q172)&lt;3,"",IF(AND(O172=P172,P172=Q172),"3/3",IF(OR(O172=P172,O172=Q172,P172=Q172),"2/3","0/3")))</f>
        <v/>
      </c>
    </row>
    <row r="173">
      <c r="A173" s="2" t="n">
        <v>172</v>
      </c>
      <c r="B173" s="2" t="inlineStr">
        <is>
          <t>W4411119711</t>
        </is>
      </c>
      <c r="C173" s="2" t="inlineStr">
        <is>
          <t>FaithBench: A Diverse Hallucination Benchmark for Su</t>
        </is>
      </c>
      <c r="D173" s="2" t="inlineStr">
        <is>
          <t>custom</t>
        </is>
      </c>
      <c r="E173" s="2" t="n">
        <v>55.96</v>
      </c>
      <c r="F173" s="2" t="inlineStr">
        <is>
          <t>B</t>
        </is>
      </c>
      <c r="G173" s="2" t="n">
        <v>56.08987218432968</v>
      </c>
      <c r="H173" s="2" t="n">
        <v>53.40896443726005</v>
      </c>
      <c r="I173" s="2" t="n">
        <v>58.36046657912769</v>
      </c>
      <c r="J173" s="2" t="n">
        <v>750</v>
      </c>
      <c r="K173" s="2" t="n">
        <v>0</v>
      </c>
      <c r="L173" s="2" t="inlineStr"/>
      <c r="M173" s="2" t="inlineStr">
        <is>
          <t>재현</t>
        </is>
      </c>
      <c r="N173" s="2" t="inlineStr"/>
      <c r="O173" s="3" t="n"/>
      <c r="P173" s="3" t="n"/>
      <c r="Q173" s="3" t="n"/>
      <c r="R173" s="3" t="n"/>
      <c r="S173" s="3" t="n"/>
      <c r="T173" s="3" t="n"/>
      <c r="U173" s="3" t="n"/>
      <c r="V173" s="3" t="n"/>
      <c r="W173" s="3" t="n"/>
      <c r="X173" s="2">
        <f>IF(COUNTA(O173:Q173)&lt;3,"",IF(AND(O173=P173,P173=Q173),O173,IF(O173=P173,O173,IF(O173=Q173,O173,IF(P173=Q173,P173,"판정 불능")))))</f>
        <v/>
      </c>
      <c r="Y173" s="2">
        <f>IF(COUNTA(O173:Q173)&lt;3,"",IF(AND(O173=P173,P173=Q173),"3/3",IF(OR(O173=P173,O173=Q173,P173=Q173),"2/3","0/3")))</f>
        <v/>
      </c>
    </row>
    <row r="174">
      <c r="A174" s="2" t="n">
        <v>173</v>
      </c>
      <c r="B174" s="2" t="inlineStr">
        <is>
          <t>W4411119711</t>
        </is>
      </c>
      <c r="C174" s="2" t="inlineStr">
        <is>
          <t>FaithBench: A Diverse Hallucination Benchmark for Su</t>
        </is>
      </c>
      <c r="D174" s="2" t="inlineStr">
        <is>
          <t>custom</t>
        </is>
      </c>
      <c r="E174" s="2" t="n">
        <v>55.96</v>
      </c>
      <c r="F174" s="2" t="inlineStr">
        <is>
          <t>C</t>
        </is>
      </c>
      <c r="G174" s="2" t="n">
        <v>60.048</v>
      </c>
      <c r="H174" s="2" t="n">
        <v>57.362</v>
      </c>
      <c r="I174" s="2" t="n">
        <v>62.75</v>
      </c>
      <c r="J174" s="2" t="inlineStr">
        <is>
          <t>750</t>
        </is>
      </c>
      <c r="K174" s="2" t="inlineStr">
        <is>
          <t>0</t>
        </is>
      </c>
      <c r="L174" s="2" t="inlineStr"/>
      <c r="M174" s="2" t="inlineStr">
        <is>
          <t>근접</t>
        </is>
      </c>
      <c r="N174" s="2" t="inlineStr"/>
      <c r="O174" s="3" t="n"/>
      <c r="P174" s="3" t="n"/>
      <c r="Q174" s="3" t="n"/>
      <c r="R174" s="3" t="n"/>
      <c r="S174" s="3" t="n"/>
      <c r="T174" s="3" t="n"/>
      <c r="U174" s="3" t="n"/>
      <c r="V174" s="3" t="n"/>
      <c r="W174" s="3" t="n"/>
      <c r="X174" s="2">
        <f>IF(COUNTA(O174:Q174)&lt;3,"",IF(AND(O174=P174,P174=Q174),O174,IF(O174=P174,O174,IF(O174=Q174,O174,IF(P174=Q174,P174,"판정 불능")))))</f>
        <v/>
      </c>
      <c r="Y174" s="2">
        <f>IF(COUNTA(O174:Q174)&lt;3,"",IF(AND(O174=P174,P174=Q174),"3/3",IF(OR(O174=P174,O174=Q174,P174=Q174),"2/3","0/3")))</f>
        <v/>
      </c>
    </row>
    <row r="175">
      <c r="A175" s="2" t="n">
        <v>174</v>
      </c>
      <c r="B175" s="2" t="inlineStr">
        <is>
          <t>W4411119711</t>
        </is>
      </c>
      <c r="C175" s="2" t="inlineStr">
        <is>
          <t>FaithBench: A Diverse Hallucination Benchmark for Su</t>
        </is>
      </c>
      <c r="D175" s="2" t="inlineStr">
        <is>
          <t>custom</t>
        </is>
      </c>
      <c r="E175" s="2" t="n">
        <v>55.96</v>
      </c>
      <c r="F175" s="2" t="inlineStr">
        <is>
          <t>D</t>
        </is>
      </c>
      <c r="G175" s="2" t="n">
        <v>57.348</v>
      </c>
      <c r="H175" s="2" t="n">
        <v>55.002</v>
      </c>
      <c r="I175" s="2" t="n">
        <v>59.979</v>
      </c>
      <c r="J175" s="2" t="inlineStr">
        <is>
          <t>750</t>
        </is>
      </c>
      <c r="K175" s="2" t="inlineStr">
        <is>
          <t>0</t>
        </is>
      </c>
      <c r="L175" s="2" t="inlineStr"/>
      <c r="M175" s="2" t="inlineStr">
        <is>
          <t>재현</t>
        </is>
      </c>
      <c r="N175" s="2" t="inlineStr"/>
      <c r="O175" s="3" t="n"/>
      <c r="P175" s="3" t="n"/>
      <c r="Q175" s="3" t="n"/>
      <c r="R175" s="3" t="n"/>
      <c r="S175" s="3" t="n"/>
      <c r="T175" s="3" t="n"/>
      <c r="U175" s="3" t="n"/>
      <c r="V175" s="3" t="n"/>
      <c r="W175" s="3" t="n"/>
      <c r="X175" s="2">
        <f>IF(COUNTA(O175:Q175)&lt;3,"",IF(AND(O175=P175,P175=Q175),O175,IF(O175=P175,O175,IF(O175=Q175,O175,IF(P175=Q175,P175,"판정 불능")))))</f>
        <v/>
      </c>
      <c r="Y175" s="2">
        <f>IF(COUNTA(O175:Q175)&lt;3,"",IF(AND(O175=P175,P175=Q175),"3/3",IF(OR(O175=P175,O175=Q175,P175=Q175),"2/3","0/3")))</f>
        <v/>
      </c>
    </row>
    <row r="176">
      <c r="A176" s="2" t="n">
        <v>175</v>
      </c>
      <c r="B176" s="2" t="inlineStr">
        <is>
          <t>W4411119711</t>
        </is>
      </c>
      <c r="C176" s="2" t="inlineStr">
        <is>
          <t>FaithBench: A Diverse Hallucination Benchmark for Su</t>
        </is>
      </c>
      <c r="D176" s="2" t="inlineStr">
        <is>
          <t>custom</t>
        </is>
      </c>
      <c r="E176" s="2" t="n">
        <v>55.96</v>
      </c>
      <c r="F176" s="2" t="inlineStr">
        <is>
          <t>E</t>
        </is>
      </c>
      <c r="G176" s="2" t="n">
        <v>60.405</v>
      </c>
      <c r="H176" s="2" t="n">
        <v>57.146</v>
      </c>
      <c r="I176" s="2" t="n">
        <v>63.44</v>
      </c>
      <c r="J176" s="2" t="inlineStr">
        <is>
          <t>750</t>
        </is>
      </c>
      <c r="K176" s="2" t="inlineStr">
        <is>
          <t>24</t>
        </is>
      </c>
      <c r="L176" s="2" t="inlineStr"/>
      <c r="M176" s="2" t="inlineStr">
        <is>
          <t>근접</t>
        </is>
      </c>
      <c r="N176" s="2" t="inlineStr"/>
      <c r="O176" s="3" t="n"/>
      <c r="P176" s="3" t="n"/>
      <c r="Q176" s="3" t="n"/>
      <c r="R176" s="3" t="n"/>
      <c r="S176" s="3" t="n"/>
      <c r="T176" s="3" t="n"/>
      <c r="U176" s="3" t="n"/>
      <c r="V176" s="3" t="n"/>
      <c r="W176" s="3" t="n"/>
      <c r="X176" s="2">
        <f>IF(COUNTA(O176:Q176)&lt;3,"",IF(AND(O176=P176,P176=Q176),O176,IF(O176=P176,O176,IF(O176=Q176,O176,IF(P176=Q176,P176,"판정 불능")))))</f>
        <v/>
      </c>
      <c r="Y176" s="2">
        <f>IF(COUNTA(O176:Q176)&lt;3,"",IF(AND(O176=P176,P176=Q176),"3/3",IF(OR(O176=P176,O176=Q176,P176=Q176),"2/3","0/3")))</f>
        <v/>
      </c>
    </row>
    <row r="177">
      <c r="A177" s="2" t="n">
        <v>176</v>
      </c>
      <c r="B177" s="2" t="inlineStr">
        <is>
          <t>W4411119985</t>
        </is>
      </c>
      <c r="C177" s="2" t="inlineStr">
        <is>
          <t>How Inclusively do LMs Perceive Social and Moral Nor</t>
        </is>
      </c>
      <c r="D177" s="2" t="inlineStr">
        <is>
          <t>mean_abs_error</t>
        </is>
      </c>
      <c r="E177" s="2" t="n">
        <v>0.92</v>
      </c>
      <c r="F177" s="2" t="inlineStr">
        <is>
          <t>A</t>
        </is>
      </c>
      <c r="G177" s="2" t="n">
        <v>0.538</v>
      </c>
      <c r="H177" s="2" t="n">
        <v>0.385</v>
      </c>
      <c r="I177" s="2" t="n">
        <v>0.6919999999999999</v>
      </c>
      <c r="J177" s="2" t="inlineStr">
        <is>
          <t>100</t>
        </is>
      </c>
      <c r="K177" s="2" t="inlineStr">
        <is>
          <t>48</t>
        </is>
      </c>
      <c r="L177" s="2" t="inlineStr"/>
      <c r="M177" s="2" t="inlineStr">
        <is>
          <t>편차</t>
        </is>
      </c>
      <c r="N177" s="2" t="inlineStr"/>
      <c r="O177" s="3" t="n"/>
      <c r="P177" s="3" t="n"/>
      <c r="Q177" s="3" t="n"/>
      <c r="R177" s="3" t="n"/>
      <c r="S177" s="3" t="n"/>
      <c r="T177" s="3" t="n"/>
      <c r="U177" s="3" t="n"/>
      <c r="V177" s="3" t="n"/>
      <c r="W177" s="3" t="n"/>
      <c r="X177" s="2">
        <f>IF(COUNTA(O177:Q177)&lt;3,"",IF(AND(O177=P177,P177=Q177),O177,IF(O177=P177,O177,IF(O177=Q177,O177,IF(P177=Q177,P177,"판정 불능")))))</f>
        <v/>
      </c>
      <c r="Y177" s="2">
        <f>IF(COUNTA(O177:Q177)&lt;3,"",IF(AND(O177=P177,P177=Q177),"3/3",IF(OR(O177=P177,O177=Q177,P177=Q177),"2/3","0/3")))</f>
        <v/>
      </c>
    </row>
    <row r="178">
      <c r="A178" s="2" t="n">
        <v>177</v>
      </c>
      <c r="B178" s="2" t="inlineStr">
        <is>
          <t>W4411119985</t>
        </is>
      </c>
      <c r="C178" s="2" t="inlineStr">
        <is>
          <t>How Inclusively do LMs Perceive Social and Moral Nor</t>
        </is>
      </c>
      <c r="D178" s="2" t="inlineStr">
        <is>
          <t>mean_abs_error</t>
        </is>
      </c>
      <c r="E178" s="2" t="n">
        <v>0.92</v>
      </c>
      <c r="F178" s="2" t="inlineStr">
        <is>
          <t>B</t>
        </is>
      </c>
      <c r="G178" s="2" t="n">
        <v>0.6</v>
      </c>
      <c r="H178" s="2" t="n">
        <v>0.495</v>
      </c>
      <c r="I178" s="2" t="n">
        <v>0.71</v>
      </c>
      <c r="J178" s="2" t="inlineStr">
        <is>
          <t>100</t>
        </is>
      </c>
      <c r="K178" s="2" t="inlineStr">
        <is>
          <t>0</t>
        </is>
      </c>
      <c r="L178" s="2" t="inlineStr"/>
      <c r="M178" s="2" t="inlineStr">
        <is>
          <t>편차</t>
        </is>
      </c>
      <c r="N178" s="2" t="inlineStr"/>
      <c r="O178" s="3" t="n"/>
      <c r="P178" s="3" t="n"/>
      <c r="Q178" s="3" t="n"/>
      <c r="R178" s="3" t="n"/>
      <c r="S178" s="3" t="n"/>
      <c r="T178" s="3" t="n"/>
      <c r="U178" s="3" t="n"/>
      <c r="V178" s="3" t="n"/>
      <c r="W178" s="3" t="n"/>
      <c r="X178" s="2">
        <f>IF(COUNTA(O178:Q178)&lt;3,"",IF(AND(O178=P178,P178=Q178),O178,IF(O178=P178,O178,IF(O178=Q178,O178,IF(P178=Q178,P178,"판정 불능")))))</f>
        <v/>
      </c>
      <c r="Y178" s="2">
        <f>IF(COUNTA(O178:Q178)&lt;3,"",IF(AND(O178=P178,P178=Q178),"3/3",IF(OR(O178=P178,O178=Q178,P178=Q178),"2/3","0/3")))</f>
        <v/>
      </c>
    </row>
    <row r="179">
      <c r="A179" s="2" t="n">
        <v>178</v>
      </c>
      <c r="B179" s="2" t="inlineStr">
        <is>
          <t>W4411119985</t>
        </is>
      </c>
      <c r="C179" s="2" t="inlineStr">
        <is>
          <t>How Inclusively do LMs Perceive Social and Moral Nor</t>
        </is>
      </c>
      <c r="D179" s="2" t="inlineStr">
        <is>
          <t>mean_abs_error</t>
        </is>
      </c>
      <c r="E179" s="2" t="n">
        <v>0.92</v>
      </c>
      <c r="F179" s="2" t="inlineStr">
        <is>
          <t>C</t>
        </is>
      </c>
      <c r="G179" s="2" t="n">
        <v>0.9399999999999999</v>
      </c>
      <c r="H179" s="2" t="n">
        <v>0.82</v>
      </c>
      <c r="I179" s="2" t="n">
        <v>1.065</v>
      </c>
      <c r="J179" s="2" t="inlineStr">
        <is>
          <t>100</t>
        </is>
      </c>
      <c r="K179" s="2" t="inlineStr">
        <is>
          <t>0</t>
        </is>
      </c>
      <c r="L179" s="2" t="inlineStr"/>
      <c r="M179" s="2" t="inlineStr">
        <is>
          <t>재현</t>
        </is>
      </c>
      <c r="N179" s="2" t="inlineStr"/>
      <c r="O179" s="3" t="n"/>
      <c r="P179" s="3" t="n"/>
      <c r="Q179" s="3" t="n"/>
      <c r="R179" s="3" t="n"/>
      <c r="S179" s="3" t="n"/>
      <c r="T179" s="3" t="n"/>
      <c r="U179" s="3" t="n"/>
      <c r="V179" s="3" t="n"/>
      <c r="W179" s="3" t="n"/>
      <c r="X179" s="2">
        <f>IF(COUNTA(O179:Q179)&lt;3,"",IF(AND(O179=P179,P179=Q179),O179,IF(O179=P179,O179,IF(O179=Q179,O179,IF(P179=Q179,P179,"판정 불능")))))</f>
        <v/>
      </c>
      <c r="Y179" s="2">
        <f>IF(COUNTA(O179:Q179)&lt;3,"",IF(AND(O179=P179,P179=Q179),"3/3",IF(OR(O179=P179,O179=Q179,P179=Q179),"2/3","0/3")))</f>
        <v/>
      </c>
    </row>
    <row r="180">
      <c r="A180" s="2" t="n">
        <v>179</v>
      </c>
      <c r="B180" s="2" t="inlineStr">
        <is>
          <t>W4411119985</t>
        </is>
      </c>
      <c r="C180" s="2" t="inlineStr">
        <is>
          <t>How Inclusively do LMs Perceive Social and Moral Nor</t>
        </is>
      </c>
      <c r="D180" s="2" t="inlineStr">
        <is>
          <t>mean_abs_error</t>
        </is>
      </c>
      <c r="E180" s="2" t="n">
        <v>0.92</v>
      </c>
      <c r="F180" s="2" t="inlineStr">
        <is>
          <t>D</t>
        </is>
      </c>
      <c r="G180" s="2" t="n">
        <v>0.73</v>
      </c>
      <c r="H180" s="2" t="n">
        <v>0.625</v>
      </c>
      <c r="I180" s="2" t="n">
        <v>0.82</v>
      </c>
      <c r="J180" s="2" t="inlineStr">
        <is>
          <t>100</t>
        </is>
      </c>
      <c r="K180" s="2" t="inlineStr">
        <is>
          <t>0</t>
        </is>
      </c>
      <c r="L180" s="2" t="inlineStr"/>
      <c r="M180" s="2" t="inlineStr">
        <is>
          <t>편차</t>
        </is>
      </c>
      <c r="N180" s="2" t="inlineStr"/>
      <c r="O180" s="3" t="n"/>
      <c r="P180" s="3" t="n"/>
      <c r="Q180" s="3" t="n"/>
      <c r="R180" s="3" t="n"/>
      <c r="S180" s="3" t="n"/>
      <c r="T180" s="3" t="n"/>
      <c r="U180" s="3" t="n"/>
      <c r="V180" s="3" t="n"/>
      <c r="W180" s="3" t="n"/>
      <c r="X180" s="2">
        <f>IF(COUNTA(O180:Q180)&lt;3,"",IF(AND(O180=P180,P180=Q180),O180,IF(O180=P180,O180,IF(O180=Q180,O180,IF(P180=Q180,P180,"판정 불능")))))</f>
        <v/>
      </c>
      <c r="Y180" s="2">
        <f>IF(COUNTA(O180:Q180)&lt;3,"",IF(AND(O180=P180,P180=Q180),"3/3",IF(OR(O180=P180,O180=Q180,P180=Q180),"2/3","0/3")))</f>
        <v/>
      </c>
    </row>
    <row r="181">
      <c r="A181" s="2" t="n">
        <v>180</v>
      </c>
      <c r="B181" s="2" t="inlineStr">
        <is>
          <t>W4411119985</t>
        </is>
      </c>
      <c r="C181" s="2" t="inlineStr">
        <is>
          <t>How Inclusively do LMs Perceive Social and Moral Nor</t>
        </is>
      </c>
      <c r="D181" s="2" t="inlineStr">
        <is>
          <t>mean_abs_error</t>
        </is>
      </c>
      <c r="E181" s="2" t="n">
        <v>0.92</v>
      </c>
      <c r="F181" s="2" t="inlineStr">
        <is>
          <t>E</t>
        </is>
      </c>
      <c r="G181" s="2" t="n">
        <v>0.5866666666666666</v>
      </c>
      <c r="H181" s="2" t="n">
        <v>0.455</v>
      </c>
      <c r="I181" s="2" t="n">
        <v>0.7</v>
      </c>
      <c r="J181" s="2" t="n">
        <v>100</v>
      </c>
      <c r="K181" s="2" t="n">
        <v>0</v>
      </c>
      <c r="L181" s="2" t="inlineStr"/>
      <c r="M181" s="2" t="inlineStr">
        <is>
          <t>편차</t>
        </is>
      </c>
      <c r="N181" s="2" t="inlineStr">
        <is>
          <t>예</t>
        </is>
      </c>
      <c r="O181" s="3" t="n"/>
      <c r="P181" s="3" t="n"/>
      <c r="Q181" s="3" t="n"/>
      <c r="R181" s="3" t="n"/>
      <c r="S181" s="3" t="n"/>
      <c r="T181" s="3" t="n"/>
      <c r="U181" s="3" t="n"/>
      <c r="V181" s="3" t="n"/>
      <c r="W181" s="3" t="n"/>
      <c r="X181" s="2">
        <f>IF(COUNTA(O181:Q181)&lt;3,"",IF(AND(O181=P181,P181=Q181),O181,IF(O181=P181,O181,IF(O181=Q181,O181,IF(P181=Q181,P181,"판정 불능")))))</f>
        <v/>
      </c>
      <c r="Y181" s="2">
        <f>IF(COUNTA(O181:Q181)&lt;3,"",IF(AND(O181=P181,P181=Q181),"3/3",IF(OR(O181=P181,O181=Q181,P181=Q181),"2/3","0/3")))</f>
        <v/>
      </c>
    </row>
    <row r="182">
      <c r="A182" s="2" t="n">
        <v>181</v>
      </c>
      <c r="B182" s="2" t="inlineStr">
        <is>
          <t>W4411120580</t>
        </is>
      </c>
      <c r="C182" s="2" t="inlineStr">
        <is>
          <t>QSpell 250K: A Large-Scale, Practical Dataset for Ch</t>
        </is>
      </c>
      <c r="D182" s="2" t="inlineStr">
        <is>
          <t>custom</t>
        </is>
      </c>
      <c r="E182" s="2" t="n">
        <v>0.4416</v>
      </c>
      <c r="F182" s="2" t="inlineStr">
        <is>
          <t>A</t>
        </is>
      </c>
      <c r="G182" s="2" t="n">
        <v>0.757</v>
      </c>
      <c r="H182" s="2" t="n">
        <v>0.75</v>
      </c>
      <c r="I182" s="2" t="n">
        <v>0.765</v>
      </c>
      <c r="J182" s="2" t="inlineStr">
        <is>
          <t>12561</t>
        </is>
      </c>
      <c r="K182" s="2" t="inlineStr">
        <is>
          <t>12</t>
        </is>
      </c>
      <c r="L182" s="2" t="inlineStr">
        <is>
          <t>예</t>
        </is>
      </c>
      <c r="M182" s="2" t="inlineStr">
        <is>
          <t>편차</t>
        </is>
      </c>
      <c r="N182" s="2" t="inlineStr"/>
      <c r="O182" s="3" t="n"/>
      <c r="P182" s="3" t="n"/>
      <c r="Q182" s="3" t="n"/>
      <c r="R182" s="3" t="n"/>
      <c r="S182" s="3" t="n"/>
      <c r="T182" s="3" t="n"/>
      <c r="U182" s="3" t="n"/>
      <c r="V182" s="3" t="n"/>
      <c r="W182" s="3" t="n"/>
      <c r="X182" s="2">
        <f>IF(COUNTA(O182:Q182)&lt;3,"",IF(AND(O182=P182,P182=Q182),O182,IF(O182=P182,O182,IF(O182=Q182,O182,IF(P182=Q182,P182,"판정 불능")))))</f>
        <v/>
      </c>
      <c r="Y182" s="2">
        <f>IF(COUNTA(O182:Q182)&lt;3,"",IF(AND(O182=P182,P182=Q182),"3/3",IF(OR(O182=P182,O182=Q182,P182=Q182),"2/3","0/3")))</f>
        <v/>
      </c>
    </row>
    <row r="183">
      <c r="A183" s="2" t="n">
        <v>182</v>
      </c>
      <c r="B183" s="2" t="inlineStr">
        <is>
          <t>W4411120580</t>
        </is>
      </c>
      <c r="C183" s="2" t="inlineStr">
        <is>
          <t>QSpell 250K: A Large-Scale, Practical Dataset for Ch</t>
        </is>
      </c>
      <c r="D183" s="2" t="inlineStr">
        <is>
          <t>custom</t>
        </is>
      </c>
      <c r="E183" s="2" t="n">
        <v>0.4416</v>
      </c>
      <c r="F183" s="2" t="inlineStr">
        <is>
          <t>B</t>
        </is>
      </c>
      <c r="G183" s="2" t="n">
        <v>0.4681894833665491</v>
      </c>
      <c r="H183" s="2" t="n">
        <v>0.4528188149115308</v>
      </c>
      <c r="I183" s="2" t="n">
        <v>0.4834432845290029</v>
      </c>
      <c r="J183" s="2" t="n">
        <v>7658</v>
      </c>
      <c r="K183" s="2" t="n">
        <v>0</v>
      </c>
      <c r="L183" s="2" t="inlineStr">
        <is>
          <t>예</t>
        </is>
      </c>
      <c r="M183" s="2" t="inlineStr">
        <is>
          <t>근접</t>
        </is>
      </c>
      <c r="N183" s="2" t="inlineStr"/>
      <c r="O183" s="3" t="n"/>
      <c r="P183" s="3" t="n"/>
      <c r="Q183" s="3" t="n"/>
      <c r="R183" s="3" t="n"/>
      <c r="S183" s="3" t="n"/>
      <c r="T183" s="3" t="n"/>
      <c r="U183" s="3" t="n"/>
      <c r="V183" s="3" t="n"/>
      <c r="W183" s="3" t="n"/>
      <c r="X183" s="2">
        <f>IF(COUNTA(O183:Q183)&lt;3,"",IF(AND(O183=P183,P183=Q183),O183,IF(O183=P183,O183,IF(O183=Q183,O183,IF(P183=Q183,P183,"판정 불능")))))</f>
        <v/>
      </c>
      <c r="Y183" s="2">
        <f>IF(COUNTA(O183:Q183)&lt;3,"",IF(AND(O183=P183,P183=Q183),"3/3",IF(OR(O183=P183,O183=Q183,P183=Q183),"2/3","0/3")))</f>
        <v/>
      </c>
    </row>
    <row r="184">
      <c r="A184" s="2" t="n">
        <v>183</v>
      </c>
      <c r="B184" s="2" t="inlineStr">
        <is>
          <t>W4411120580</t>
        </is>
      </c>
      <c r="C184" s="2" t="inlineStr">
        <is>
          <t>QSpell 250K: A Large-Scale, Practical Dataset for Ch</t>
        </is>
      </c>
      <c r="D184" s="2" t="inlineStr">
        <is>
          <t>custom</t>
        </is>
      </c>
      <c r="E184" s="2" t="n">
        <v>0.4416</v>
      </c>
      <c r="F184" s="2" t="inlineStr">
        <is>
          <t>C</t>
        </is>
      </c>
      <c r="G184" s="2" t="n">
        <v>0.29</v>
      </c>
      <c r="H184" s="2" t="n">
        <v>0.278</v>
      </c>
      <c r="I184" s="2" t="n">
        <v>0.302</v>
      </c>
      <c r="J184" s="2" t="inlineStr">
        <is>
          <t>9302</t>
        </is>
      </c>
      <c r="K184" s="2" t="inlineStr">
        <is>
          <t>0</t>
        </is>
      </c>
      <c r="L184" s="2" t="inlineStr">
        <is>
          <t>예</t>
        </is>
      </c>
      <c r="M184" s="2" t="inlineStr">
        <is>
          <t>편차</t>
        </is>
      </c>
      <c r="N184" s="2" t="inlineStr"/>
      <c r="O184" s="3" t="n"/>
      <c r="P184" s="3" t="n"/>
      <c r="Q184" s="3" t="n"/>
      <c r="R184" s="3" t="n"/>
      <c r="S184" s="3" t="n"/>
      <c r="T184" s="3" t="n"/>
      <c r="U184" s="3" t="n"/>
      <c r="V184" s="3" t="n"/>
      <c r="W184" s="3" t="n"/>
      <c r="X184" s="2">
        <f>IF(COUNTA(O184:Q184)&lt;3,"",IF(AND(O184=P184,P184=Q184),O184,IF(O184=P184,O184,IF(O184=Q184,O184,IF(P184=Q184,P184,"판정 불능")))))</f>
        <v/>
      </c>
      <c r="Y184" s="2">
        <f>IF(COUNTA(O184:Q184)&lt;3,"",IF(AND(O184=P184,P184=Q184),"3/3",IF(OR(O184=P184,O184=Q184,P184=Q184),"2/3","0/3")))</f>
        <v/>
      </c>
    </row>
    <row r="185">
      <c r="A185" s="2" t="n">
        <v>184</v>
      </c>
      <c r="B185" s="2" t="inlineStr">
        <is>
          <t>W4411120580</t>
        </is>
      </c>
      <c r="C185" s="2" t="inlineStr">
        <is>
          <t>QSpell 250K: A Large-Scale, Practical Dataset for Ch</t>
        </is>
      </c>
      <c r="D185" s="2" t="inlineStr">
        <is>
          <t>custom</t>
        </is>
      </c>
      <c r="E185" s="2" t="n">
        <v>0.4416</v>
      </c>
      <c r="F185" s="2" t="inlineStr">
        <is>
          <t>D</t>
        </is>
      </c>
      <c r="G185" s="2" t="n">
        <v>0.729</v>
      </c>
      <c r="H185" s="2" t="n">
        <v>0.709</v>
      </c>
      <c r="I185" s="2" t="n">
        <v>0.751</v>
      </c>
      <c r="J185" s="2" t="inlineStr">
        <is>
          <t>1844</t>
        </is>
      </c>
      <c r="K185" s="2" t="inlineStr">
        <is>
          <t>0</t>
        </is>
      </c>
      <c r="L185" s="2" t="inlineStr">
        <is>
          <t>예</t>
        </is>
      </c>
      <c r="M185" s="2" t="inlineStr">
        <is>
          <t>편차</t>
        </is>
      </c>
      <c r="N185" s="2" t="inlineStr"/>
      <c r="O185" s="3" t="n"/>
      <c r="P185" s="3" t="n"/>
      <c r="Q185" s="3" t="n"/>
      <c r="R185" s="3" t="n"/>
      <c r="S185" s="3" t="n"/>
      <c r="T185" s="3" t="n"/>
      <c r="U185" s="3" t="n"/>
      <c r="V185" s="3" t="n"/>
      <c r="W185" s="3" t="n"/>
      <c r="X185" s="2">
        <f>IF(COUNTA(O185:Q185)&lt;3,"",IF(AND(O185=P185,P185=Q185),O185,IF(O185=P185,O185,IF(O185=Q185,O185,IF(P185=Q185,P185,"판정 불능")))))</f>
        <v/>
      </c>
      <c r="Y185" s="2">
        <f>IF(COUNTA(O185:Q185)&lt;3,"",IF(AND(O185=P185,P185=Q185),"3/3",IF(OR(O185=P185,O185=Q185,P185=Q185),"2/3","0/3")))</f>
        <v/>
      </c>
    </row>
    <row r="186">
      <c r="A186" s="2" t="n">
        <v>185</v>
      </c>
      <c r="B186" s="2" t="inlineStr">
        <is>
          <t>W4411120580</t>
        </is>
      </c>
      <c r="C186" s="2" t="inlineStr">
        <is>
          <t>QSpell 250K: A Large-Scale, Practical Dataset for Ch</t>
        </is>
      </c>
      <c r="D186" s="2" t="inlineStr">
        <is>
          <t>custom</t>
        </is>
      </c>
      <c r="E186" s="2" t="n">
        <v>0.4416</v>
      </c>
      <c r="F186" s="2" t="inlineStr">
        <is>
          <t>E</t>
        </is>
      </c>
      <c r="G186" s="2" t="n">
        <v>0.605</v>
      </c>
      <c r="H186" s="2" t="n">
        <v>0.587</v>
      </c>
      <c r="I186" s="2" t="n">
        <v>0.623</v>
      </c>
      <c r="J186" s="2" t="inlineStr">
        <is>
          <t>4459</t>
        </is>
      </c>
      <c r="K186" s="2" t="inlineStr">
        <is>
          <t>0</t>
        </is>
      </c>
      <c r="L186" s="2" t="inlineStr">
        <is>
          <t>예</t>
        </is>
      </c>
      <c r="M186" s="2" t="inlineStr">
        <is>
          <t>편차</t>
        </is>
      </c>
      <c r="N186" s="2" t="inlineStr"/>
      <c r="O186" s="3" t="n"/>
      <c r="P186" s="3" t="n"/>
      <c r="Q186" s="3" t="n"/>
      <c r="R186" s="3" t="n"/>
      <c r="S186" s="3" t="n"/>
      <c r="T186" s="3" t="n"/>
      <c r="U186" s="3" t="n"/>
      <c r="V186" s="3" t="n"/>
      <c r="W186" s="3" t="n"/>
      <c r="X186" s="2">
        <f>IF(COUNTA(O186:Q186)&lt;3,"",IF(AND(O186=P186,P186=Q186),O186,IF(O186=P186,O186,IF(O186=Q186,O186,IF(P186=Q186,P186,"판정 불능")))))</f>
        <v/>
      </c>
      <c r="Y186" s="2">
        <f>IF(COUNTA(O186:Q186)&lt;3,"",IF(AND(O186=P186,P186=Q186),"3/3",IF(OR(O186=P186,O186=Q186,P186=Q186),"2/3","0/3")))</f>
        <v/>
      </c>
    </row>
    <row r="187">
      <c r="A187" s="2" t="n">
        <v>186</v>
      </c>
      <c r="B187" s="2" t="inlineStr">
        <is>
          <t>W4412888118</t>
        </is>
      </c>
      <c r="C187" s="2" t="inlineStr">
        <is>
          <t>Nunchi-Bench: Benchmarking Language Models on Cultur</t>
        </is>
      </c>
      <c r="D187" s="2" t="inlineStr">
        <is>
          <t>accuracy</t>
        </is>
      </c>
      <c r="E187" s="2" t="n">
        <v>96.7</v>
      </c>
      <c r="F187" s="2" t="inlineStr">
        <is>
          <t>A</t>
        </is>
      </c>
      <c r="G187" s="2" t="n">
        <v>100</v>
      </c>
      <c r="H187" s="2" t="n">
        <v>100</v>
      </c>
      <c r="I187" s="2" t="n">
        <v>100</v>
      </c>
      <c r="J187" s="2" t="inlineStr">
        <is>
          <t>31</t>
        </is>
      </c>
      <c r="K187" s="2" t="inlineStr">
        <is>
          <t>0</t>
        </is>
      </c>
      <c r="L187" s="2" t="inlineStr"/>
      <c r="M187" s="2" t="inlineStr">
        <is>
          <t>근접</t>
        </is>
      </c>
      <c r="N187" s="2" t="inlineStr"/>
      <c r="O187" s="3" t="n"/>
      <c r="P187" s="3" t="n"/>
      <c r="Q187" s="3" t="n"/>
      <c r="R187" s="3" t="n"/>
      <c r="S187" s="3" t="n"/>
      <c r="T187" s="3" t="n"/>
      <c r="U187" s="3" t="n"/>
      <c r="V187" s="3" t="n"/>
      <c r="W187" s="3" t="n"/>
      <c r="X187" s="2">
        <f>IF(COUNTA(O187:Q187)&lt;3,"",IF(AND(O187=P187,P187=Q187),O187,IF(O187=P187,O187,IF(O187=Q187,O187,IF(P187=Q187,P187,"판정 불능")))))</f>
        <v/>
      </c>
      <c r="Y187" s="2">
        <f>IF(COUNTA(O187:Q187)&lt;3,"",IF(AND(O187=P187,P187=Q187),"3/3",IF(OR(O187=P187,O187=Q187,P187=Q187),"2/3","0/3")))</f>
        <v/>
      </c>
    </row>
    <row r="188">
      <c r="A188" s="2" t="n">
        <v>187</v>
      </c>
      <c r="B188" s="2" t="inlineStr">
        <is>
          <t>W4412888118</t>
        </is>
      </c>
      <c r="C188" s="2" t="inlineStr">
        <is>
          <t>Nunchi-Bench: Benchmarking Language Models on Cultur</t>
        </is>
      </c>
      <c r="D188" s="2" t="inlineStr">
        <is>
          <t>accuracy</t>
        </is>
      </c>
      <c r="E188" s="2" t="n">
        <v>96.7</v>
      </c>
      <c r="F188" s="2" t="inlineStr">
        <is>
          <t>B</t>
        </is>
      </c>
      <c r="G188" s="2" t="n">
        <v>96.7741935483871</v>
      </c>
      <c r="H188" s="2" t="n">
        <v>90.32258064516128</v>
      </c>
      <c r="I188" s="2" t="n">
        <v>100</v>
      </c>
      <c r="J188" s="2" t="n">
        <v>31</v>
      </c>
      <c r="K188" s="2" t="n">
        <v>0</v>
      </c>
      <c r="L188" s="2" t="inlineStr"/>
      <c r="M188" s="2" t="inlineStr">
        <is>
          <t>재현</t>
        </is>
      </c>
      <c r="N188" s="2" t="inlineStr"/>
      <c r="O188" s="3" t="n"/>
      <c r="P188" s="3" t="n"/>
      <c r="Q188" s="3" t="n"/>
      <c r="R188" s="3" t="n"/>
      <c r="S188" s="3" t="n"/>
      <c r="T188" s="3" t="n"/>
      <c r="U188" s="3" t="n"/>
      <c r="V188" s="3" t="n"/>
      <c r="W188" s="3" t="n"/>
      <c r="X188" s="2">
        <f>IF(COUNTA(O188:Q188)&lt;3,"",IF(AND(O188=P188,P188=Q188),O188,IF(O188=P188,O188,IF(O188=Q188,O188,IF(P188=Q188,P188,"판정 불능")))))</f>
        <v/>
      </c>
      <c r="Y188" s="2">
        <f>IF(COUNTA(O188:Q188)&lt;3,"",IF(AND(O188=P188,P188=Q188),"3/3",IF(OR(O188=P188,O188=Q188,P188=Q188),"2/3","0/3")))</f>
        <v/>
      </c>
    </row>
    <row r="189">
      <c r="A189" s="2" t="n">
        <v>188</v>
      </c>
      <c r="B189" s="2" t="inlineStr">
        <is>
          <t>W4412888118</t>
        </is>
      </c>
      <c r="C189" s="2" t="inlineStr">
        <is>
          <t>Nunchi-Bench: Benchmarking Language Models on Cultur</t>
        </is>
      </c>
      <c r="D189" s="2" t="inlineStr">
        <is>
          <t>accuracy</t>
        </is>
      </c>
      <c r="E189" s="2" t="n">
        <v>96.7</v>
      </c>
      <c r="F189" s="2" t="inlineStr">
        <is>
          <t>C</t>
        </is>
      </c>
      <c r="G189" s="2" t="n">
        <v>100</v>
      </c>
      <c r="H189" s="2" t="n">
        <v>100</v>
      </c>
      <c r="I189" s="2" t="n">
        <v>100</v>
      </c>
      <c r="J189" s="2" t="inlineStr">
        <is>
          <t>31</t>
        </is>
      </c>
      <c r="K189" s="2" t="inlineStr">
        <is>
          <t>0</t>
        </is>
      </c>
      <c r="L189" s="2" t="inlineStr"/>
      <c r="M189" s="2" t="inlineStr">
        <is>
          <t>근접</t>
        </is>
      </c>
      <c r="N189" s="2" t="inlineStr"/>
      <c r="O189" s="3" t="n"/>
      <c r="P189" s="3" t="n"/>
      <c r="Q189" s="3" t="n"/>
      <c r="R189" s="3" t="n"/>
      <c r="S189" s="3" t="n"/>
      <c r="T189" s="3" t="n"/>
      <c r="U189" s="3" t="n"/>
      <c r="V189" s="3" t="n"/>
      <c r="W189" s="3" t="n"/>
      <c r="X189" s="2">
        <f>IF(COUNTA(O189:Q189)&lt;3,"",IF(AND(O189=P189,P189=Q189),O189,IF(O189=P189,O189,IF(O189=Q189,O189,IF(P189=Q189,P189,"판정 불능")))))</f>
        <v/>
      </c>
      <c r="Y189" s="2">
        <f>IF(COUNTA(O189:Q189)&lt;3,"",IF(AND(O189=P189,P189=Q189),"3/3",IF(OR(O189=P189,O189=Q189,P189=Q189),"2/3","0/3")))</f>
        <v/>
      </c>
    </row>
    <row r="190">
      <c r="A190" s="2" t="n">
        <v>189</v>
      </c>
      <c r="B190" s="2" t="inlineStr">
        <is>
          <t>W4412888118</t>
        </is>
      </c>
      <c r="C190" s="2" t="inlineStr">
        <is>
          <t>Nunchi-Bench: Benchmarking Language Models on Cultur</t>
        </is>
      </c>
      <c r="D190" s="2" t="inlineStr">
        <is>
          <t>accuracy</t>
        </is>
      </c>
      <c r="E190" s="2" t="n">
        <v>96.7</v>
      </c>
      <c r="F190" s="2" t="inlineStr">
        <is>
          <t>D</t>
        </is>
      </c>
      <c r="G190" s="2" t="n">
        <v>83.871</v>
      </c>
      <c r="H190" s="2" t="n">
        <v>70.968</v>
      </c>
      <c r="I190" s="2" t="n">
        <v>96.774</v>
      </c>
      <c r="J190" s="2" t="inlineStr">
        <is>
          <t>31</t>
        </is>
      </c>
      <c r="K190" s="2" t="inlineStr">
        <is>
          <t>0</t>
        </is>
      </c>
      <c r="L190" s="2" t="inlineStr"/>
      <c r="M190" s="2" t="inlineStr">
        <is>
          <t>재현</t>
        </is>
      </c>
      <c r="N190" s="2" t="inlineStr"/>
      <c r="O190" s="3" t="n"/>
      <c r="P190" s="3" t="n"/>
      <c r="Q190" s="3" t="n"/>
      <c r="R190" s="3" t="n"/>
      <c r="S190" s="3" t="n"/>
      <c r="T190" s="3" t="n"/>
      <c r="U190" s="3" t="n"/>
      <c r="V190" s="3" t="n"/>
      <c r="W190" s="3" t="n"/>
      <c r="X190" s="2">
        <f>IF(COUNTA(O190:Q190)&lt;3,"",IF(AND(O190=P190,P190=Q190),O190,IF(O190=P190,O190,IF(O190=Q190,O190,IF(P190=Q190,P190,"판정 불능")))))</f>
        <v/>
      </c>
      <c r="Y190" s="2">
        <f>IF(COUNTA(O190:Q190)&lt;3,"",IF(AND(O190=P190,P190=Q190),"3/3",IF(OR(O190=P190,O190=Q190,P190=Q190),"2/3","0/3")))</f>
        <v/>
      </c>
    </row>
    <row r="191">
      <c r="A191" s="2" t="n">
        <v>190</v>
      </c>
      <c r="B191" s="2" t="inlineStr">
        <is>
          <t>W4412888118</t>
        </is>
      </c>
      <c r="C191" s="2" t="inlineStr">
        <is>
          <t>Nunchi-Bench: Benchmarking Language Models on Cultur</t>
        </is>
      </c>
      <c r="D191" s="2" t="inlineStr">
        <is>
          <t>accuracy</t>
        </is>
      </c>
      <c r="E191" s="2" t="n">
        <v>96.7</v>
      </c>
      <c r="F191" s="2" t="inlineStr">
        <is>
          <t>E</t>
        </is>
      </c>
      <c r="G191" s="2" t="n">
        <v>100</v>
      </c>
      <c r="H191" s="2" t="n">
        <v>100</v>
      </c>
      <c r="I191" s="2" t="n">
        <v>100</v>
      </c>
      <c r="J191" s="2" t="inlineStr">
        <is>
          <t>31</t>
        </is>
      </c>
      <c r="K191" s="2" t="inlineStr">
        <is>
          <t>0</t>
        </is>
      </c>
      <c r="L191" s="2" t="inlineStr"/>
      <c r="M191" s="2" t="inlineStr">
        <is>
          <t>근접</t>
        </is>
      </c>
      <c r="N191" s="2" t="inlineStr"/>
      <c r="O191" s="3" t="n"/>
      <c r="P191" s="3" t="n"/>
      <c r="Q191" s="3" t="n"/>
      <c r="R191" s="3" t="n"/>
      <c r="S191" s="3" t="n"/>
      <c r="T191" s="3" t="n"/>
      <c r="U191" s="3" t="n"/>
      <c r="V191" s="3" t="n"/>
      <c r="W191" s="3" t="n"/>
      <c r="X191" s="2">
        <f>IF(COUNTA(O191:Q191)&lt;3,"",IF(AND(O191=P191,P191=Q191),O191,IF(O191=P191,O191,IF(O191=Q191,O191,IF(P191=Q191,P191,"판정 불능")))))</f>
        <v/>
      </c>
      <c r="Y191" s="2">
        <f>IF(COUNTA(O191:Q191)&lt;3,"",IF(AND(O191=P191,P191=Q191),"3/3",IF(OR(O191=P191,O191=Q191,P191=Q191),"2/3","0/3")))</f>
        <v/>
      </c>
    </row>
    <row r="192">
      <c r="A192" s="2" t="n">
        <v>191</v>
      </c>
      <c r="B192" s="2" t="inlineStr">
        <is>
          <t>W4414494504</t>
        </is>
      </c>
      <c r="C192" s="2" t="inlineStr">
        <is>
          <t>PGxRAG: A Retrieval Augmented Generation supported P</t>
        </is>
      </c>
      <c r="D192" s="2" t="inlineStr">
        <is>
          <t>accuracy</t>
        </is>
      </c>
      <c r="E192" s="2" t="n">
        <v>80.889</v>
      </c>
      <c r="F192" s="2" t="inlineStr">
        <is>
          <t>A</t>
        </is>
      </c>
      <c r="G192" s="2" t="n">
        <v>92.523</v>
      </c>
      <c r="H192" s="2" t="n">
        <v>88.785</v>
      </c>
      <c r="I192" s="2" t="n">
        <v>95.794</v>
      </c>
      <c r="J192" s="2" t="inlineStr">
        <is>
          <t>214</t>
        </is>
      </c>
      <c r="K192" s="2" t="inlineStr">
        <is>
          <t>5</t>
        </is>
      </c>
      <c r="L192" s="2" t="inlineStr">
        <is>
          <t>예</t>
        </is>
      </c>
      <c r="M192" s="2" t="inlineStr">
        <is>
          <t>편차</t>
        </is>
      </c>
      <c r="N192" s="2" t="inlineStr"/>
      <c r="O192" s="3" t="n"/>
      <c r="P192" s="3" t="n"/>
      <c r="Q192" s="3" t="n"/>
      <c r="R192" s="3" t="n"/>
      <c r="S192" s="3" t="n"/>
      <c r="T192" s="3" t="n"/>
      <c r="U192" s="3" t="n"/>
      <c r="V192" s="3" t="n"/>
      <c r="W192" s="3" t="n"/>
      <c r="X192" s="2">
        <f>IF(COUNTA(O192:Q192)&lt;3,"",IF(AND(O192=P192,P192=Q192),O192,IF(O192=P192,O192,IF(O192=Q192,O192,IF(P192=Q192,P192,"판정 불능")))))</f>
        <v/>
      </c>
      <c r="Y192" s="2">
        <f>IF(COUNTA(O192:Q192)&lt;3,"",IF(AND(O192=P192,P192=Q192),"3/3",IF(OR(O192=P192,O192=Q192,P192=Q192),"2/3","0/3")))</f>
        <v/>
      </c>
    </row>
    <row r="193">
      <c r="A193" s="2" t="n">
        <v>192</v>
      </c>
      <c r="B193" s="2" t="inlineStr">
        <is>
          <t>W4414494504</t>
        </is>
      </c>
      <c r="C193" s="2" t="inlineStr">
        <is>
          <t>PGxRAG: A Retrieval Augmented Generation supported P</t>
        </is>
      </c>
      <c r="D193" s="2" t="inlineStr">
        <is>
          <t>accuracy</t>
        </is>
      </c>
      <c r="E193" s="2" t="n">
        <v>80.889</v>
      </c>
      <c r="F193" s="2" t="inlineStr">
        <is>
          <t>B</t>
        </is>
      </c>
      <c r="G193" s="2" t="n">
        <v>78.81481481481481</v>
      </c>
      <c r="H193" s="2" t="n">
        <v>72.88888888888889</v>
      </c>
      <c r="I193" s="2" t="n">
        <v>83.55555555555556</v>
      </c>
      <c r="J193" s="2" t="n">
        <v>225</v>
      </c>
      <c r="K193" s="2" t="n">
        <v>22</v>
      </c>
      <c r="L193" s="2" t="inlineStr"/>
      <c r="M193" s="2" t="inlineStr">
        <is>
          <t>재현</t>
        </is>
      </c>
      <c r="N193" s="2" t="inlineStr"/>
      <c r="O193" s="3" t="n"/>
      <c r="P193" s="3" t="n"/>
      <c r="Q193" s="3" t="n"/>
      <c r="R193" s="3" t="n"/>
      <c r="S193" s="3" t="n"/>
      <c r="T193" s="3" t="n"/>
      <c r="U193" s="3" t="n"/>
      <c r="V193" s="3" t="n"/>
      <c r="W193" s="3" t="n"/>
      <c r="X193" s="2">
        <f>IF(COUNTA(O193:Q193)&lt;3,"",IF(AND(O193=P193,P193=Q193),O193,IF(O193=P193,O193,IF(O193=Q193,O193,IF(P193=Q193,P193,"판정 불능")))))</f>
        <v/>
      </c>
      <c r="Y193" s="2">
        <f>IF(COUNTA(O193:Q193)&lt;3,"",IF(AND(O193=P193,P193=Q193),"3/3",IF(OR(O193=P193,O193=Q193,P193=Q193),"2/3","0/3")))</f>
        <v/>
      </c>
    </row>
    <row r="194">
      <c r="A194" s="2" t="n">
        <v>193</v>
      </c>
      <c r="B194" s="2" t="inlineStr">
        <is>
          <t>W4414494504</t>
        </is>
      </c>
      <c r="C194" s="2" t="inlineStr">
        <is>
          <t>PGxRAG: A Retrieval Augmented Generation supported P</t>
        </is>
      </c>
      <c r="D194" s="2" t="inlineStr">
        <is>
          <t>accuracy</t>
        </is>
      </c>
      <c r="E194" s="2" t="n">
        <v>80.889</v>
      </c>
      <c r="F194" s="2" t="inlineStr">
        <is>
          <t>C</t>
        </is>
      </c>
      <c r="G194" s="2" t="n">
        <v>72.889</v>
      </c>
      <c r="H194" s="2" t="n">
        <v>66.667</v>
      </c>
      <c r="I194" s="2" t="n">
        <v>78.667</v>
      </c>
      <c r="J194" s="2" t="inlineStr">
        <is>
          <t>225</t>
        </is>
      </c>
      <c r="K194" s="2" t="inlineStr">
        <is>
          <t>23</t>
        </is>
      </c>
      <c r="L194" s="2" t="inlineStr"/>
      <c r="M194" s="2" t="inlineStr">
        <is>
          <t>편차</t>
        </is>
      </c>
      <c r="N194" s="2" t="inlineStr"/>
      <c r="O194" s="3" t="n"/>
      <c r="P194" s="3" t="n"/>
      <c r="Q194" s="3" t="n"/>
      <c r="R194" s="3" t="n"/>
      <c r="S194" s="3" t="n"/>
      <c r="T194" s="3" t="n"/>
      <c r="U194" s="3" t="n"/>
      <c r="V194" s="3" t="n"/>
      <c r="W194" s="3" t="n"/>
      <c r="X194" s="2">
        <f>IF(COUNTA(O194:Q194)&lt;3,"",IF(AND(O194=P194,P194=Q194),O194,IF(O194=P194,O194,IF(O194=Q194,O194,IF(P194=Q194,P194,"판정 불능")))))</f>
        <v/>
      </c>
      <c r="Y194" s="2">
        <f>IF(COUNTA(O194:Q194)&lt;3,"",IF(AND(O194=P194,P194=Q194),"3/3",IF(OR(O194=P194,O194=Q194,P194=Q194),"2/3","0/3")))</f>
        <v/>
      </c>
    </row>
    <row r="195">
      <c r="A195" s="2" t="n">
        <v>194</v>
      </c>
      <c r="B195" s="2" t="inlineStr">
        <is>
          <t>W4414494504</t>
        </is>
      </c>
      <c r="C195" s="2" t="inlineStr">
        <is>
          <t>PGxRAG: A Retrieval Augmented Generation supported P</t>
        </is>
      </c>
      <c r="D195" s="2" t="inlineStr">
        <is>
          <t>accuracy</t>
        </is>
      </c>
      <c r="E195" s="2" t="n">
        <v>80.889</v>
      </c>
      <c r="F195" s="2" t="inlineStr">
        <is>
          <t>D</t>
        </is>
      </c>
      <c r="G195" s="2" t="n">
        <v>64</v>
      </c>
      <c r="H195" s="2" t="n">
        <v>57.778</v>
      </c>
      <c r="I195" s="2" t="n">
        <v>70.22199999999999</v>
      </c>
      <c r="J195" s="2" t="inlineStr">
        <is>
          <t>225</t>
        </is>
      </c>
      <c r="K195" s="2" t="inlineStr">
        <is>
          <t>72</t>
        </is>
      </c>
      <c r="L195" s="2" t="inlineStr"/>
      <c r="M195" s="2" t="inlineStr">
        <is>
          <t>편차</t>
        </is>
      </c>
      <c r="N195" s="2" t="inlineStr"/>
      <c r="O195" s="3" t="n"/>
      <c r="P195" s="3" t="n"/>
      <c r="Q195" s="3" t="n"/>
      <c r="R195" s="3" t="n"/>
      <c r="S195" s="3" t="n"/>
      <c r="T195" s="3" t="n"/>
      <c r="U195" s="3" t="n"/>
      <c r="V195" s="3" t="n"/>
      <c r="W195" s="3" t="n"/>
      <c r="X195" s="2">
        <f>IF(COUNTA(O195:Q195)&lt;3,"",IF(AND(O195=P195,P195=Q195),O195,IF(O195=P195,O195,IF(O195=Q195,O195,IF(P195=Q195,P195,"판정 불능")))))</f>
        <v/>
      </c>
      <c r="Y195" s="2">
        <f>IF(COUNTA(O195:Q195)&lt;3,"",IF(AND(O195=P195,P195=Q195),"3/3",IF(OR(O195=P195,O195=Q195,P195=Q195),"2/3","0/3")))</f>
        <v/>
      </c>
    </row>
    <row r="196">
      <c r="A196" s="2" t="n">
        <v>195</v>
      </c>
      <c r="B196" s="2" t="inlineStr">
        <is>
          <t>W4414494504</t>
        </is>
      </c>
      <c r="C196" s="2" t="inlineStr">
        <is>
          <t>PGxRAG: A Retrieval Augmented Generation supported P</t>
        </is>
      </c>
      <c r="D196" s="2" t="inlineStr">
        <is>
          <t>accuracy</t>
        </is>
      </c>
      <c r="E196" s="2" t="n">
        <v>80.889</v>
      </c>
      <c r="F196" s="2" t="inlineStr">
        <is>
          <t>E</t>
        </is>
      </c>
      <c r="G196" s="2" t="n">
        <v>84</v>
      </c>
      <c r="H196" s="2" t="n">
        <v>79.111</v>
      </c>
      <c r="I196" s="2" t="n">
        <v>88.444</v>
      </c>
      <c r="J196" s="2" t="inlineStr">
        <is>
          <t>225</t>
        </is>
      </c>
      <c r="K196" s="2" t="inlineStr">
        <is>
          <t>7</t>
        </is>
      </c>
      <c r="L196" s="2" t="inlineStr"/>
      <c r="M196" s="2" t="inlineStr">
        <is>
          <t>재현</t>
        </is>
      </c>
      <c r="N196" s="2" t="inlineStr"/>
      <c r="O196" s="3" t="n"/>
      <c r="P196" s="3" t="n"/>
      <c r="Q196" s="3" t="n"/>
      <c r="R196" s="3" t="n"/>
      <c r="S196" s="3" t="n"/>
      <c r="T196" s="3" t="n"/>
      <c r="U196" s="3" t="n"/>
      <c r="V196" s="3" t="n"/>
      <c r="W196" s="3" t="n"/>
      <c r="X196" s="2">
        <f>IF(COUNTA(O196:Q196)&lt;3,"",IF(AND(O196=P196,P196=Q196),O196,IF(O196=P196,O196,IF(O196=Q196,O196,IF(P196=Q196,P196,"판정 불능")))))</f>
        <v/>
      </c>
      <c r="Y196" s="2">
        <f>IF(COUNTA(O196:Q196)&lt;3,"",IF(AND(O196=P196,P196=Q196),"3/3",IF(OR(O196=P196,O196=Q196,P196=Q196),"2/3","0/3")))</f>
        <v/>
      </c>
    </row>
    <row r="197">
      <c r="A197" s="2" t="n">
        <v>196</v>
      </c>
      <c r="B197" s="2" t="inlineStr">
        <is>
          <t>W4414758400</t>
        </is>
      </c>
      <c r="C197" s="2" t="inlineStr">
        <is>
          <t>Mitigation of Gender and Ethnicity Bias in AI-Genera</t>
        </is>
      </c>
      <c r="D197" s="2" t="inlineStr">
        <is>
          <t>custom</t>
        </is>
      </c>
      <c r="E197" s="2" t="n">
        <v>51.5</v>
      </c>
      <c r="F197" s="2" t="inlineStr">
        <is>
          <t>A</t>
        </is>
      </c>
      <c r="G197" s="2" t="n">
        <v>53.061</v>
      </c>
      <c r="H197" s="2" t="n">
        <v>51.405</v>
      </c>
      <c r="I197" s="2" t="n">
        <v>54.277</v>
      </c>
      <c r="J197" s="2" t="inlineStr">
        <is>
          <t>25</t>
        </is>
      </c>
      <c r="K197" s="2" t="inlineStr">
        <is>
          <t>0</t>
        </is>
      </c>
      <c r="L197" s="2" t="inlineStr"/>
      <c r="M197" s="2" t="inlineStr">
        <is>
          <t>재현</t>
        </is>
      </c>
      <c r="N197" s="2" t="inlineStr"/>
      <c r="O197" s="3" t="n"/>
      <c r="P197" s="3" t="n"/>
      <c r="Q197" s="3" t="n"/>
      <c r="R197" s="3" t="n"/>
      <c r="S197" s="3" t="n"/>
      <c r="T197" s="3" t="n"/>
      <c r="U197" s="3" t="n"/>
      <c r="V197" s="3" t="n"/>
      <c r="W197" s="3" t="n"/>
      <c r="X197" s="2">
        <f>IF(COUNTA(O197:Q197)&lt;3,"",IF(AND(O197=P197,P197=Q197),O197,IF(O197=P197,O197,IF(O197=Q197,O197,IF(P197=Q197,P197,"판정 불능")))))</f>
        <v/>
      </c>
      <c r="Y197" s="2">
        <f>IF(COUNTA(O197:Q197)&lt;3,"",IF(AND(O197=P197,P197=Q197),"3/3",IF(OR(O197=P197,O197=Q197,P197=Q197),"2/3","0/3")))</f>
        <v/>
      </c>
    </row>
    <row r="198">
      <c r="A198" s="2" t="n">
        <v>197</v>
      </c>
      <c r="B198" s="2" t="inlineStr">
        <is>
          <t>W4414758400</t>
        </is>
      </c>
      <c r="C198" s="2" t="inlineStr">
        <is>
          <t>Mitigation of Gender and Ethnicity Bias in AI-Genera</t>
        </is>
      </c>
      <c r="D198" s="2" t="inlineStr">
        <is>
          <t>custom</t>
        </is>
      </c>
      <c r="E198" s="2" t="n">
        <v>51.5</v>
      </c>
      <c r="F198" s="2" t="inlineStr">
        <is>
          <t>B</t>
        </is>
      </c>
      <c r="G198" s="2" t="n">
        <v>51.813</v>
      </c>
      <c r="H198" s="2" t="n">
        <v>50.768</v>
      </c>
      <c r="I198" s="2" t="n">
        <v>52.775</v>
      </c>
      <c r="J198" s="2" t="inlineStr">
        <is>
          <t>25</t>
        </is>
      </c>
      <c r="K198" s="2" t="inlineStr">
        <is>
          <t>0</t>
        </is>
      </c>
      <c r="L198" s="2" t="inlineStr"/>
      <c r="M198" s="2" t="inlineStr">
        <is>
          <t>재현</t>
        </is>
      </c>
      <c r="N198" s="2" t="inlineStr"/>
      <c r="O198" s="3" t="n"/>
      <c r="P198" s="3" t="n"/>
      <c r="Q198" s="3" t="n"/>
      <c r="R198" s="3" t="n"/>
      <c r="S198" s="3" t="n"/>
      <c r="T198" s="3" t="n"/>
      <c r="U198" s="3" t="n"/>
      <c r="V198" s="3" t="n"/>
      <c r="W198" s="3" t="n"/>
      <c r="X198" s="2">
        <f>IF(COUNTA(O198:Q198)&lt;3,"",IF(AND(O198=P198,P198=Q198),O198,IF(O198=P198,O198,IF(O198=Q198,O198,IF(P198=Q198,P198,"판정 불능")))))</f>
        <v/>
      </c>
      <c r="Y198" s="2">
        <f>IF(COUNTA(O198:Q198)&lt;3,"",IF(AND(O198=P198,P198=Q198),"3/3",IF(OR(O198=P198,O198=Q198,P198=Q198),"2/3","0/3")))</f>
        <v/>
      </c>
    </row>
    <row r="199">
      <c r="A199" s="2" t="n">
        <v>198</v>
      </c>
      <c r="B199" s="2" t="inlineStr">
        <is>
          <t>W4414758400</t>
        </is>
      </c>
      <c r="C199" s="2" t="inlineStr">
        <is>
          <t>Mitigation of Gender and Ethnicity Bias in AI-Genera</t>
        </is>
      </c>
      <c r="D199" s="2" t="inlineStr">
        <is>
          <t>custom</t>
        </is>
      </c>
      <c r="E199" s="2" t="n">
        <v>51.5</v>
      </c>
      <c r="F199" s="2" t="inlineStr">
        <is>
          <t>C</t>
        </is>
      </c>
      <c r="G199" s="2" t="n">
        <v>49.60430685724835</v>
      </c>
      <c r="H199" s="2" t="n">
        <v>47.66666666666666</v>
      </c>
      <c r="I199" s="2" t="n">
        <v>50.6969696969697</v>
      </c>
      <c r="J199" s="2" t="n">
        <v>25</v>
      </c>
      <c r="K199" s="2" t="n">
        <v>0</v>
      </c>
      <c r="L199" s="2" t="inlineStr"/>
      <c r="M199" s="2" t="inlineStr">
        <is>
          <t>재현</t>
        </is>
      </c>
      <c r="N199" s="2" t="inlineStr"/>
      <c r="O199" s="3" t="n"/>
      <c r="P199" s="3" t="n"/>
      <c r="Q199" s="3" t="n"/>
      <c r="R199" s="3" t="n"/>
      <c r="S199" s="3" t="n"/>
      <c r="T199" s="3" t="n"/>
      <c r="U199" s="3" t="n"/>
      <c r="V199" s="3" t="n"/>
      <c r="W199" s="3" t="n"/>
      <c r="X199" s="2">
        <f>IF(COUNTA(O199:Q199)&lt;3,"",IF(AND(O199=P199,P199=Q199),O199,IF(O199=P199,O199,IF(O199=Q199,O199,IF(P199=Q199,P199,"판정 불능")))))</f>
        <v/>
      </c>
      <c r="Y199" s="2">
        <f>IF(COUNTA(O199:Q199)&lt;3,"",IF(AND(O199=P199,P199=Q199),"3/3",IF(OR(O199=P199,O199=Q199,P199=Q199),"2/3","0/3")))</f>
        <v/>
      </c>
    </row>
    <row r="200">
      <c r="A200" s="2" t="n">
        <v>199</v>
      </c>
      <c r="B200" s="2" t="inlineStr">
        <is>
          <t>W4414979614</t>
        </is>
      </c>
      <c r="C200" s="2" t="inlineStr">
        <is>
          <t xml:space="preserve">Overcoming Language Barriers: Multilingual Analysis </t>
        </is>
      </c>
      <c r="D200" s="2" t="inlineStr">
        <is>
          <t>custom</t>
        </is>
      </c>
      <c r="E200" s="2" t="n">
        <v>0.93</v>
      </c>
      <c r="F200" s="2" t="inlineStr">
        <is>
          <t>A</t>
        </is>
      </c>
      <c r="G200" s="2" t="n">
        <v>0.897</v>
      </c>
      <c r="H200" s="2" t="n">
        <v>0.73</v>
      </c>
      <c r="I200" s="2" t="n">
        <v>1</v>
      </c>
      <c r="J200" s="2" t="inlineStr">
        <is>
          <t>30</t>
        </is>
      </c>
      <c r="K200" s="2" t="inlineStr">
        <is>
          <t>0</t>
        </is>
      </c>
      <c r="L200" s="2" t="inlineStr"/>
      <c r="M200" s="2" t="inlineStr">
        <is>
          <t>재현</t>
        </is>
      </c>
      <c r="N200" s="2" t="inlineStr"/>
      <c r="O200" s="3" t="n"/>
      <c r="P200" s="3" t="n"/>
      <c r="Q200" s="3" t="n"/>
      <c r="R200" s="3" t="n"/>
      <c r="S200" s="3" t="n"/>
      <c r="T200" s="3" t="n"/>
      <c r="U200" s="3" t="n"/>
      <c r="V200" s="3" t="n"/>
      <c r="W200" s="3" t="n"/>
      <c r="X200" s="2">
        <f>IF(COUNTA(O200:Q200)&lt;3,"",IF(AND(O200=P200,P200=Q200),O200,IF(O200=P200,O200,IF(O200=Q200,O200,IF(P200=Q200,P200,"판정 불능")))))</f>
        <v/>
      </c>
      <c r="Y200" s="2">
        <f>IF(COUNTA(O200:Q200)&lt;3,"",IF(AND(O200=P200,P200=Q200),"3/3",IF(OR(O200=P200,O200=Q200,P200=Q200),"2/3","0/3")))</f>
        <v/>
      </c>
    </row>
    <row r="201">
      <c r="A201" s="2" t="n">
        <v>200</v>
      </c>
      <c r="B201" s="2" t="inlineStr">
        <is>
          <t>W4414979614</t>
        </is>
      </c>
      <c r="C201" s="2" t="inlineStr">
        <is>
          <t xml:space="preserve">Overcoming Language Barriers: Multilingual Analysis </t>
        </is>
      </c>
      <c r="D201" s="2" t="inlineStr">
        <is>
          <t>custom</t>
        </is>
      </c>
      <c r="E201" s="2" t="n">
        <v>0.93</v>
      </c>
      <c r="F201" s="2" t="inlineStr">
        <is>
          <t>B</t>
        </is>
      </c>
      <c r="G201" s="2" t="n">
        <v>0.8888210554877221</v>
      </c>
      <c r="H201" s="2" t="n">
        <v>0.8</v>
      </c>
      <c r="I201" s="2" t="n">
        <v>1</v>
      </c>
      <c r="J201" s="2" t="n">
        <v>30</v>
      </c>
      <c r="K201" s="2" t="n">
        <v>7</v>
      </c>
      <c r="L201" s="2" t="inlineStr"/>
      <c r="M201" s="2" t="inlineStr">
        <is>
          <t>재현</t>
        </is>
      </c>
      <c r="N201" s="2" t="inlineStr"/>
      <c r="O201" s="3" t="n"/>
      <c r="P201" s="3" t="n"/>
      <c r="Q201" s="3" t="n"/>
      <c r="R201" s="3" t="n"/>
      <c r="S201" s="3" t="n"/>
      <c r="T201" s="3" t="n"/>
      <c r="U201" s="3" t="n"/>
      <c r="V201" s="3" t="n"/>
      <c r="W201" s="3" t="n"/>
      <c r="X201" s="2">
        <f>IF(COUNTA(O201:Q201)&lt;3,"",IF(AND(O201=P201,P201=Q201),O201,IF(O201=P201,O201,IF(O201=Q201,O201,IF(P201=Q201,P201,"판정 불능")))))</f>
        <v/>
      </c>
      <c r="Y201" s="2">
        <f>IF(COUNTA(O201:Q201)&lt;3,"",IF(AND(O201=P201,P201=Q201),"3/3",IF(OR(O201=P201,O201=Q201,P201=Q201),"2/3","0/3")))</f>
        <v/>
      </c>
    </row>
    <row r="202">
      <c r="A202" s="2" t="n">
        <v>201</v>
      </c>
      <c r="B202" s="2" t="inlineStr">
        <is>
          <t>W4414979614</t>
        </is>
      </c>
      <c r="C202" s="2" t="inlineStr">
        <is>
          <t xml:space="preserve">Overcoming Language Barriers: Multilingual Analysis </t>
        </is>
      </c>
      <c r="D202" s="2" t="inlineStr">
        <is>
          <t>custom</t>
        </is>
      </c>
      <c r="E202" s="2" t="n">
        <v>0.93</v>
      </c>
      <c r="F202" s="2" t="inlineStr">
        <is>
          <t>C</t>
        </is>
      </c>
      <c r="G202" s="2" t="n">
        <v>0.929</v>
      </c>
      <c r="H202" s="2" t="n">
        <v>0.8</v>
      </c>
      <c r="I202" s="2" t="n">
        <v>1</v>
      </c>
      <c r="J202" s="2" t="inlineStr">
        <is>
          <t>30</t>
        </is>
      </c>
      <c r="K202" s="2" t="inlineStr">
        <is>
          <t>0</t>
        </is>
      </c>
      <c r="L202" s="2" t="inlineStr"/>
      <c r="M202" s="2" t="inlineStr">
        <is>
          <t>재현</t>
        </is>
      </c>
      <c r="N202" s="2" t="inlineStr"/>
      <c r="O202" s="3" t="n"/>
      <c r="P202" s="3" t="n"/>
      <c r="Q202" s="3" t="n"/>
      <c r="R202" s="3" t="n"/>
      <c r="S202" s="3" t="n"/>
      <c r="T202" s="3" t="n"/>
      <c r="U202" s="3" t="n"/>
      <c r="V202" s="3" t="n"/>
      <c r="W202" s="3" t="n"/>
      <c r="X202" s="2">
        <f>IF(COUNTA(O202:Q202)&lt;3,"",IF(AND(O202=P202,P202=Q202),O202,IF(O202=P202,O202,IF(O202=Q202,O202,IF(P202=Q202,P202,"판정 불능")))))</f>
        <v/>
      </c>
      <c r="Y202" s="2">
        <f>IF(COUNTA(O202:Q202)&lt;3,"",IF(AND(O202=P202,P202=Q202),"3/3",IF(OR(O202=P202,O202=Q202,P202=Q202),"2/3","0/3")))</f>
        <v/>
      </c>
    </row>
    <row r="203">
      <c r="A203" s="2" t="n">
        <v>202</v>
      </c>
      <c r="B203" s="2" t="inlineStr">
        <is>
          <t>W4414979614</t>
        </is>
      </c>
      <c r="C203" s="2" t="inlineStr">
        <is>
          <t xml:space="preserve">Overcoming Language Barriers: Multilingual Analysis </t>
        </is>
      </c>
      <c r="D203" s="2" t="inlineStr">
        <is>
          <t>custom</t>
        </is>
      </c>
      <c r="E203" s="2" t="n">
        <v>0.93</v>
      </c>
      <c r="F203" s="2" t="inlineStr">
        <is>
          <t>D</t>
        </is>
      </c>
      <c r="G203" s="2" t="n">
        <v>0.788</v>
      </c>
      <c r="H203" s="2" t="n">
        <v>0.593</v>
      </c>
      <c r="I203" s="2" t="n">
        <v>0.912</v>
      </c>
      <c r="J203" s="2" t="inlineStr">
        <is>
          <t>30</t>
        </is>
      </c>
      <c r="K203" s="2" t="inlineStr">
        <is>
          <t>0</t>
        </is>
      </c>
      <c r="L203" s="2" t="inlineStr"/>
      <c r="M203" s="2" t="inlineStr">
        <is>
          <t>편차</t>
        </is>
      </c>
      <c r="N203" s="2" t="inlineStr"/>
      <c r="O203" s="3" t="n"/>
      <c r="P203" s="3" t="n"/>
      <c r="Q203" s="3" t="n"/>
      <c r="R203" s="3" t="n"/>
      <c r="S203" s="3" t="n"/>
      <c r="T203" s="3" t="n"/>
      <c r="U203" s="3" t="n"/>
      <c r="V203" s="3" t="n"/>
      <c r="W203" s="3" t="n"/>
      <c r="X203" s="2">
        <f>IF(COUNTA(O203:Q203)&lt;3,"",IF(AND(O203=P203,P203=Q203),O203,IF(O203=P203,O203,IF(O203=Q203,O203,IF(P203=Q203,P203,"판정 불능")))))</f>
        <v/>
      </c>
      <c r="Y203" s="2">
        <f>IF(COUNTA(O203:Q203)&lt;3,"",IF(AND(O203=P203,P203=Q203),"3/3",IF(OR(O203=P203,O203=Q203,P203=Q203),"2/3","0/3")))</f>
        <v/>
      </c>
    </row>
    <row r="204">
      <c r="A204" s="2" t="n">
        <v>203</v>
      </c>
      <c r="B204" s="2" t="inlineStr">
        <is>
          <t>W4415035710</t>
        </is>
      </c>
      <c r="C204" s="2" t="inlineStr">
        <is>
          <t>Do LLMs have a Gender (Entropy) Bias?</t>
        </is>
      </c>
      <c r="D204" s="2" t="inlineStr">
        <is>
          <t>custom</t>
        </is>
      </c>
      <c r="E204" s="2" t="n">
        <v>2</v>
      </c>
      <c r="F204" s="2" t="inlineStr">
        <is>
          <t>A</t>
        </is>
      </c>
      <c r="G204" s="2" t="n">
        <v>-0.228767433931091</v>
      </c>
      <c r="H204" s="2" t="n">
        <v>-2.168490494918541</v>
      </c>
      <c r="I204" s="2" t="n">
        <v>1.877547451682831</v>
      </c>
      <c r="J204" s="2" t="n">
        <v>158</v>
      </c>
      <c r="K204" s="2" t="n">
        <v>0</v>
      </c>
      <c r="L204" s="2" t="inlineStr"/>
      <c r="M204" s="2" t="inlineStr">
        <is>
          <t>근접</t>
        </is>
      </c>
      <c r="N204" s="2" t="inlineStr"/>
      <c r="O204" s="3" t="n"/>
      <c r="P204" s="3" t="n"/>
      <c r="Q204" s="3" t="n"/>
      <c r="R204" s="3" t="n"/>
      <c r="S204" s="3" t="n"/>
      <c r="T204" s="3" t="n"/>
      <c r="U204" s="3" t="n"/>
      <c r="V204" s="3" t="n"/>
      <c r="W204" s="3" t="n"/>
      <c r="X204" s="2">
        <f>IF(COUNTA(O204:Q204)&lt;3,"",IF(AND(O204=P204,P204=Q204),O204,IF(O204=P204,O204,IF(O204=Q204,O204,IF(P204=Q204,P204,"판정 불능")))))</f>
        <v/>
      </c>
      <c r="Y204" s="2">
        <f>IF(COUNTA(O204:Q204)&lt;3,"",IF(AND(O204=P204,P204=Q204),"3/3",IF(OR(O204=P204,O204=Q204,P204=Q204),"2/3","0/3")))</f>
        <v/>
      </c>
    </row>
    <row r="205">
      <c r="A205" s="2" t="n">
        <v>204</v>
      </c>
      <c r="B205" s="2" t="inlineStr">
        <is>
          <t>W4415035710</t>
        </is>
      </c>
      <c r="C205" s="2" t="inlineStr">
        <is>
          <t>Do LLMs have a Gender (Entropy) Bias?</t>
        </is>
      </c>
      <c r="D205" s="2" t="inlineStr">
        <is>
          <t>custom</t>
        </is>
      </c>
      <c r="E205" s="2" t="n">
        <v>2</v>
      </c>
      <c r="F205" s="2" t="inlineStr">
        <is>
          <t>B</t>
        </is>
      </c>
      <c r="G205" s="2" t="n">
        <v>-0.081</v>
      </c>
      <c r="H205" s="2" t="n">
        <v>-2.165</v>
      </c>
      <c r="I205" s="2" t="n">
        <v>1.974</v>
      </c>
      <c r="J205" s="2" t="inlineStr">
        <is>
          <t>158</t>
        </is>
      </c>
      <c r="K205" s="2" t="inlineStr">
        <is>
          <t>0</t>
        </is>
      </c>
      <c r="L205" s="2" t="inlineStr"/>
      <c r="M205" s="2" t="inlineStr">
        <is>
          <t>근접</t>
        </is>
      </c>
      <c r="N205" s="2" t="inlineStr"/>
      <c r="O205" s="3" t="n"/>
      <c r="P205" s="3" t="n"/>
      <c r="Q205" s="3" t="n"/>
      <c r="R205" s="3" t="n"/>
      <c r="S205" s="3" t="n"/>
      <c r="T205" s="3" t="n"/>
      <c r="U205" s="3" t="n"/>
      <c r="V205" s="3" t="n"/>
      <c r="W205" s="3" t="n"/>
      <c r="X205" s="2">
        <f>IF(COUNTA(O205:Q205)&lt;3,"",IF(AND(O205=P205,P205=Q205),O205,IF(O205=P205,O205,IF(O205=Q205,O205,IF(P205=Q205,P205,"판정 불능")))))</f>
        <v/>
      </c>
      <c r="Y205" s="2">
        <f>IF(COUNTA(O205:Q205)&lt;3,"",IF(AND(O205=P205,P205=Q205),"3/3",IF(OR(O205=P205,O205=Q205,P205=Q205),"2/3","0/3")))</f>
        <v/>
      </c>
    </row>
    <row r="206">
      <c r="A206" s="2" t="n">
        <v>205</v>
      </c>
      <c r="B206" s="2" t="inlineStr">
        <is>
          <t>W4415035710</t>
        </is>
      </c>
      <c r="C206" s="2" t="inlineStr">
        <is>
          <t>Do LLMs have a Gender (Entropy) Bias?</t>
        </is>
      </c>
      <c r="D206" s="2" t="inlineStr">
        <is>
          <t>custom</t>
        </is>
      </c>
      <c r="E206" s="2" t="n">
        <v>2</v>
      </c>
      <c r="F206" s="2" t="inlineStr">
        <is>
          <t>C</t>
        </is>
      </c>
      <c r="G206" s="2" t="n">
        <v>-0.482</v>
      </c>
      <c r="H206" s="2" t="n">
        <v>-2.542</v>
      </c>
      <c r="I206" s="2" t="n">
        <v>1.543</v>
      </c>
      <c r="J206" s="2" t="inlineStr">
        <is>
          <t>158</t>
        </is>
      </c>
      <c r="K206" s="2" t="inlineStr">
        <is>
          <t>0</t>
        </is>
      </c>
      <c r="L206" s="2" t="inlineStr"/>
      <c r="M206" s="2" t="inlineStr">
        <is>
          <t>근접</t>
        </is>
      </c>
      <c r="N206" s="2" t="inlineStr"/>
      <c r="O206" s="3" t="n"/>
      <c r="P206" s="3" t="n"/>
      <c r="Q206" s="3" t="n"/>
      <c r="R206" s="3" t="n"/>
      <c r="S206" s="3" t="n"/>
      <c r="T206" s="3" t="n"/>
      <c r="U206" s="3" t="n"/>
      <c r="V206" s="3" t="n"/>
      <c r="W206" s="3" t="n"/>
      <c r="X206" s="2">
        <f>IF(COUNTA(O206:Q206)&lt;3,"",IF(AND(O206=P206,P206=Q206),O206,IF(O206=P206,O206,IF(O206=Q206,O206,IF(P206=Q206,P206,"판정 불능")))))</f>
        <v/>
      </c>
      <c r="Y206" s="2">
        <f>IF(COUNTA(O206:Q206)&lt;3,"",IF(AND(O206=P206,P206=Q206),"3/3",IF(OR(O206=P206,O206=Q206,P206=Q206),"2/3","0/3")))</f>
        <v/>
      </c>
    </row>
    <row r="207">
      <c r="A207" s="2" t="n">
        <v>206</v>
      </c>
      <c r="B207" s="2" t="inlineStr">
        <is>
          <t>W4415270561</t>
        </is>
      </c>
      <c r="C207" s="2" t="inlineStr">
        <is>
          <t>Diff-XYZ: A Benchmark for Evaluating Diff Understand</t>
        </is>
      </c>
      <c r="D207" s="2" t="inlineStr">
        <is>
          <t>exact_match</t>
        </is>
      </c>
      <c r="E207" s="2" t="n">
        <v>0.38</v>
      </c>
      <c r="F207" s="2" t="inlineStr">
        <is>
          <t>A</t>
        </is>
      </c>
      <c r="G207" s="2" t="n">
        <v>0.3733333333333334</v>
      </c>
      <c r="H207" s="2" t="n">
        <v>0.343</v>
      </c>
      <c r="I207" s="2" t="n">
        <v>0.402</v>
      </c>
      <c r="J207" s="2" t="n">
        <v>1000</v>
      </c>
      <c r="K207" s="2" t="n">
        <v>0</v>
      </c>
      <c r="L207" s="2" t="inlineStr"/>
      <c r="M207" s="2" t="inlineStr">
        <is>
          <t>재현</t>
        </is>
      </c>
      <c r="N207" s="2" t="inlineStr"/>
      <c r="O207" s="3" t="n"/>
      <c r="P207" s="3" t="n"/>
      <c r="Q207" s="3" t="n"/>
      <c r="R207" s="3" t="n"/>
      <c r="S207" s="3" t="n"/>
      <c r="T207" s="3" t="n"/>
      <c r="U207" s="3" t="n"/>
      <c r="V207" s="3" t="n"/>
      <c r="W207" s="3" t="n"/>
      <c r="X207" s="2">
        <f>IF(COUNTA(O207:Q207)&lt;3,"",IF(AND(O207=P207,P207=Q207),O207,IF(O207=P207,O207,IF(O207=Q207,O207,IF(P207=Q207,P207,"판정 불능")))))</f>
        <v/>
      </c>
      <c r="Y207" s="2">
        <f>IF(COUNTA(O207:Q207)&lt;3,"",IF(AND(O207=P207,P207=Q207),"3/3",IF(OR(O207=P207,O207=Q207,P207=Q207),"2/3","0/3")))</f>
        <v/>
      </c>
    </row>
    <row r="208">
      <c r="A208" s="2" t="n">
        <v>207</v>
      </c>
      <c r="B208" s="2" t="inlineStr">
        <is>
          <t>W4415270561</t>
        </is>
      </c>
      <c r="C208" s="2" t="inlineStr">
        <is>
          <t>Diff-XYZ: A Benchmark for Evaluating Diff Understand</t>
        </is>
      </c>
      <c r="D208" s="2" t="inlineStr">
        <is>
          <t>exact_match</t>
        </is>
      </c>
      <c r="E208" s="2" t="n">
        <v>0.38</v>
      </c>
      <c r="F208" s="2" t="inlineStr">
        <is>
          <t>B</t>
        </is>
      </c>
      <c r="G208" s="2" t="n">
        <v>0.894</v>
      </c>
      <c r="H208" s="2" t="n">
        <v>0.875</v>
      </c>
      <c r="I208" s="2" t="n">
        <v>0.913</v>
      </c>
      <c r="J208" s="2" t="inlineStr">
        <is>
          <t>1000</t>
        </is>
      </c>
      <c r="K208" s="2" t="inlineStr">
        <is>
          <t>0</t>
        </is>
      </c>
      <c r="L208" s="2" t="inlineStr"/>
      <c r="M208" s="2" t="inlineStr">
        <is>
          <t>편차</t>
        </is>
      </c>
      <c r="N208" s="2" t="inlineStr"/>
      <c r="O208" s="3" t="n"/>
      <c r="P208" s="3" t="n"/>
      <c r="Q208" s="3" t="n"/>
      <c r="R208" s="3" t="n"/>
      <c r="S208" s="3" t="n"/>
      <c r="T208" s="3" t="n"/>
      <c r="U208" s="3" t="n"/>
      <c r="V208" s="3" t="n"/>
      <c r="W208" s="3" t="n"/>
      <c r="X208" s="2">
        <f>IF(COUNTA(O208:Q208)&lt;3,"",IF(AND(O208=P208,P208=Q208),O208,IF(O208=P208,O208,IF(O208=Q208,O208,IF(P208=Q208,P208,"판정 불능")))))</f>
        <v/>
      </c>
      <c r="Y208" s="2">
        <f>IF(COUNTA(O208:Q208)&lt;3,"",IF(AND(O208=P208,P208=Q208),"3/3",IF(OR(O208=P208,O208=Q208,P208=Q208),"2/3","0/3")))</f>
        <v/>
      </c>
    </row>
    <row r="209">
      <c r="A209" s="2" t="n">
        <v>208</v>
      </c>
      <c r="B209" s="2" t="inlineStr">
        <is>
          <t>W4415270561</t>
        </is>
      </c>
      <c r="C209" s="2" t="inlineStr">
        <is>
          <t>Diff-XYZ: A Benchmark for Evaluating Diff Understand</t>
        </is>
      </c>
      <c r="D209" s="2" t="inlineStr">
        <is>
          <t>exact_match</t>
        </is>
      </c>
      <c r="E209" s="2" t="n">
        <v>0.38</v>
      </c>
      <c r="F209" s="2" t="inlineStr">
        <is>
          <t>C</t>
        </is>
      </c>
      <c r="G209" s="2" t="n">
        <v>0.98</v>
      </c>
      <c r="H209" s="2" t="n">
        <v>0.971</v>
      </c>
      <c r="I209" s="2" t="n">
        <v>0.988</v>
      </c>
      <c r="J209" s="2" t="inlineStr">
        <is>
          <t>1000</t>
        </is>
      </c>
      <c r="K209" s="2" t="inlineStr">
        <is>
          <t>1</t>
        </is>
      </c>
      <c r="L209" s="2" t="inlineStr"/>
      <c r="M209" s="2" t="inlineStr">
        <is>
          <t>편차</t>
        </is>
      </c>
      <c r="N209" s="2" t="inlineStr"/>
      <c r="O209" s="3" t="n"/>
      <c r="P209" s="3" t="n"/>
      <c r="Q209" s="3" t="n"/>
      <c r="R209" s="3" t="n"/>
      <c r="S209" s="3" t="n"/>
      <c r="T209" s="3" t="n"/>
      <c r="U209" s="3" t="n"/>
      <c r="V209" s="3" t="n"/>
      <c r="W209" s="3" t="n"/>
      <c r="X209" s="2">
        <f>IF(COUNTA(O209:Q209)&lt;3,"",IF(AND(O209=P209,P209=Q209),O209,IF(O209=P209,O209,IF(O209=Q209,O209,IF(P209=Q209,P209,"판정 불능")))))</f>
        <v/>
      </c>
      <c r="Y209" s="2">
        <f>IF(COUNTA(O209:Q209)&lt;3,"",IF(AND(O209=P209,P209=Q209),"3/3",IF(OR(O209=P209,O209=Q209,P209=Q209),"2/3","0/3")))</f>
        <v/>
      </c>
    </row>
    <row r="210">
      <c r="A210" s="2" t="n">
        <v>209</v>
      </c>
      <c r="B210" s="2" t="inlineStr">
        <is>
          <t>W4415270561</t>
        </is>
      </c>
      <c r="C210" s="2" t="inlineStr">
        <is>
          <t>Diff-XYZ: A Benchmark for Evaluating Diff Understand</t>
        </is>
      </c>
      <c r="D210" s="2" t="inlineStr">
        <is>
          <t>exact_match</t>
        </is>
      </c>
      <c r="E210" s="2" t="n">
        <v>0.38</v>
      </c>
      <c r="F210" s="2" t="inlineStr">
        <is>
          <t>D</t>
        </is>
      </c>
      <c r="G210" s="2" t="n">
        <v>0.623</v>
      </c>
      <c r="H210" s="2" t="n">
        <v>0.592</v>
      </c>
      <c r="I210" s="2" t="n">
        <v>0.652</v>
      </c>
      <c r="J210" s="2" t="inlineStr">
        <is>
          <t>1000</t>
        </is>
      </c>
      <c r="K210" s="2" t="inlineStr">
        <is>
          <t>0</t>
        </is>
      </c>
      <c r="L210" s="2" t="inlineStr"/>
      <c r="M210" s="2" t="inlineStr">
        <is>
          <t>편차</t>
        </is>
      </c>
      <c r="N210" s="2" t="inlineStr"/>
      <c r="O210" s="3" t="n"/>
      <c r="P210" s="3" t="n"/>
      <c r="Q210" s="3" t="n"/>
      <c r="R210" s="3" t="n"/>
      <c r="S210" s="3" t="n"/>
      <c r="T210" s="3" t="n"/>
      <c r="U210" s="3" t="n"/>
      <c r="V210" s="3" t="n"/>
      <c r="W210" s="3" t="n"/>
      <c r="X210" s="2">
        <f>IF(COUNTA(O210:Q210)&lt;3,"",IF(AND(O210=P210,P210=Q210),O210,IF(O210=P210,O210,IF(O210=Q210,O210,IF(P210=Q210,P210,"판정 불능")))))</f>
        <v/>
      </c>
      <c r="Y210" s="2">
        <f>IF(COUNTA(O210:Q210)&lt;3,"",IF(AND(O210=P210,P210=Q210),"3/3",IF(OR(O210=P210,O210=Q210,P210=Q210),"2/3","0/3")))</f>
        <v/>
      </c>
    </row>
    <row r="211">
      <c r="A211" s="2" t="n">
        <v>210</v>
      </c>
      <c r="B211" s="2" t="inlineStr">
        <is>
          <t>W4415332749</t>
        </is>
      </c>
      <c r="C211" s="2" t="inlineStr">
        <is>
          <t>J4R: Learning to Judge with Equivalent Initial State</t>
        </is>
      </c>
      <c r="D211" s="2" t="inlineStr">
        <is>
          <t>custom</t>
        </is>
      </c>
      <c r="E211" s="2" t="n">
        <v>73.09999999999999</v>
      </c>
      <c r="F211" s="2" t="inlineStr">
        <is>
          <t>A</t>
        </is>
      </c>
      <c r="G211" s="2" t="n">
        <v>52</v>
      </c>
      <c r="H211" s="2" t="n">
        <v>38</v>
      </c>
      <c r="I211" s="2" t="n">
        <v>66</v>
      </c>
      <c r="J211" s="2" t="inlineStr">
        <is>
          <t>100</t>
        </is>
      </c>
      <c r="K211" s="2" t="inlineStr">
        <is>
          <t>0</t>
        </is>
      </c>
      <c r="L211" s="2" t="inlineStr"/>
      <c r="M211" s="2" t="inlineStr">
        <is>
          <t>편차</t>
        </is>
      </c>
      <c r="N211" s="2" t="inlineStr"/>
      <c r="O211" s="3" t="n"/>
      <c r="P211" s="3" t="n"/>
      <c r="Q211" s="3" t="n"/>
      <c r="R211" s="3" t="n"/>
      <c r="S211" s="3" t="n"/>
      <c r="T211" s="3" t="n"/>
      <c r="U211" s="3" t="n"/>
      <c r="V211" s="3" t="n"/>
      <c r="W211" s="3" t="n"/>
      <c r="X211" s="2">
        <f>IF(COUNTA(O211:Q211)&lt;3,"",IF(AND(O211=P211,P211=Q211),O211,IF(O211=P211,O211,IF(O211=Q211,O211,IF(P211=Q211,P211,"판정 불능")))))</f>
        <v/>
      </c>
      <c r="Y211" s="2">
        <f>IF(COUNTA(O211:Q211)&lt;3,"",IF(AND(O211=P211,P211=Q211),"3/3",IF(OR(O211=P211,O211=Q211,P211=Q211),"2/3","0/3")))</f>
        <v/>
      </c>
    </row>
    <row r="212">
      <c r="A212" s="2" t="n">
        <v>211</v>
      </c>
      <c r="B212" s="2" t="inlineStr">
        <is>
          <t>W4415332749</t>
        </is>
      </c>
      <c r="C212" s="2" t="inlineStr">
        <is>
          <t>J4R: Learning to Judge with Equivalent Initial State</t>
        </is>
      </c>
      <c r="D212" s="2" t="inlineStr">
        <is>
          <t>custom</t>
        </is>
      </c>
      <c r="E212" s="2" t="n">
        <v>73.09999999999999</v>
      </c>
      <c r="F212" s="2" t="inlineStr">
        <is>
          <t>B</t>
        </is>
      </c>
      <c r="G212" s="2" t="n">
        <v>66</v>
      </c>
      <c r="H212" s="2" t="n">
        <v>52</v>
      </c>
      <c r="I212" s="2" t="n">
        <v>78</v>
      </c>
      <c r="J212" s="2" t="n">
        <v>100</v>
      </c>
      <c r="K212" s="2" t="n">
        <v>0</v>
      </c>
      <c r="L212" s="2" t="inlineStr"/>
      <c r="M212" s="2" t="inlineStr">
        <is>
          <t>재현</t>
        </is>
      </c>
      <c r="N212" s="2" t="inlineStr">
        <is>
          <t>예</t>
        </is>
      </c>
      <c r="O212" s="3" t="n"/>
      <c r="P212" s="3" t="n"/>
      <c r="Q212" s="3" t="n"/>
      <c r="R212" s="3" t="n"/>
      <c r="S212" s="3" t="n"/>
      <c r="T212" s="3" t="n"/>
      <c r="U212" s="3" t="n"/>
      <c r="V212" s="3" t="n"/>
      <c r="W212" s="3" t="n"/>
      <c r="X212" s="2">
        <f>IF(COUNTA(O212:Q212)&lt;3,"",IF(AND(O212=P212,P212=Q212),O212,IF(O212=P212,O212,IF(O212=Q212,O212,IF(P212=Q212,P212,"판정 불능")))))</f>
        <v/>
      </c>
      <c r="Y212" s="2">
        <f>IF(COUNTA(O212:Q212)&lt;3,"",IF(AND(O212=P212,P212=Q212),"3/3",IF(OR(O212=P212,O212=Q212,P212=Q212),"2/3","0/3")))</f>
        <v/>
      </c>
    </row>
    <row r="213">
      <c r="A213" s="2" t="n">
        <v>212</v>
      </c>
      <c r="B213" s="2" t="inlineStr">
        <is>
          <t>W4415332749</t>
        </is>
      </c>
      <c r="C213" s="2" t="inlineStr">
        <is>
          <t>J4R: Learning to Judge with Equivalent Initial State</t>
        </is>
      </c>
      <c r="D213" s="2" t="inlineStr">
        <is>
          <t>custom</t>
        </is>
      </c>
      <c r="E213" s="2" t="n">
        <v>73.09999999999999</v>
      </c>
      <c r="F213" s="2" t="inlineStr">
        <is>
          <t>C</t>
        </is>
      </c>
      <c r="G213" s="2" t="n">
        <v>92</v>
      </c>
      <c r="H213" s="2" t="n">
        <v>84</v>
      </c>
      <c r="I213" s="2" t="n">
        <v>98</v>
      </c>
      <c r="J213" s="2" t="inlineStr">
        <is>
          <t>100</t>
        </is>
      </c>
      <c r="K213" s="2" t="inlineStr">
        <is>
          <t>0</t>
        </is>
      </c>
      <c r="L213" s="2" t="inlineStr"/>
      <c r="M213" s="2" t="inlineStr">
        <is>
          <t>편차</t>
        </is>
      </c>
      <c r="N213" s="2" t="inlineStr"/>
      <c r="O213" s="3" t="n"/>
      <c r="P213" s="3" t="n"/>
      <c r="Q213" s="3" t="n"/>
      <c r="R213" s="3" t="n"/>
      <c r="S213" s="3" t="n"/>
      <c r="T213" s="3" t="n"/>
      <c r="U213" s="3" t="n"/>
      <c r="V213" s="3" t="n"/>
      <c r="W213" s="3" t="n"/>
      <c r="X213" s="2">
        <f>IF(COUNTA(O213:Q213)&lt;3,"",IF(AND(O213=P213,P213=Q213),O213,IF(O213=P213,O213,IF(O213=Q213,O213,IF(P213=Q213,P213,"판정 불능")))))</f>
        <v/>
      </c>
      <c r="Y213" s="2">
        <f>IF(COUNTA(O213:Q213)&lt;3,"",IF(AND(O213=P213,P213=Q213),"3/3",IF(OR(O213=P213,O213=Q213,P213=Q213),"2/3","0/3")))</f>
        <v/>
      </c>
    </row>
    <row r="214">
      <c r="A214" s="2" t="n">
        <v>213</v>
      </c>
      <c r="B214" s="2" t="inlineStr">
        <is>
          <t>W4415332749</t>
        </is>
      </c>
      <c r="C214" s="2" t="inlineStr">
        <is>
          <t>J4R: Learning to Judge with Equivalent Initial State</t>
        </is>
      </c>
      <c r="D214" s="2" t="inlineStr">
        <is>
          <t>custom</t>
        </is>
      </c>
      <c r="E214" s="2" t="n">
        <v>73.09999999999999</v>
      </c>
      <c r="F214" s="2" t="inlineStr">
        <is>
          <t>D</t>
        </is>
      </c>
      <c r="G214" s="2" t="n">
        <v>80</v>
      </c>
      <c r="H214" s="2" t="n">
        <v>68</v>
      </c>
      <c r="I214" s="2" t="n">
        <v>90</v>
      </c>
      <c r="J214" s="2" t="inlineStr">
        <is>
          <t>100</t>
        </is>
      </c>
      <c r="K214" s="2" t="inlineStr">
        <is>
          <t>0</t>
        </is>
      </c>
      <c r="L214" s="2" t="inlineStr"/>
      <c r="M214" s="2" t="inlineStr">
        <is>
          <t>재현</t>
        </is>
      </c>
      <c r="N214" s="2" t="inlineStr"/>
      <c r="O214" s="3" t="n"/>
      <c r="P214" s="3" t="n"/>
      <c r="Q214" s="3" t="n"/>
      <c r="R214" s="3" t="n"/>
      <c r="S214" s="3" t="n"/>
      <c r="T214" s="3" t="n"/>
      <c r="U214" s="3" t="n"/>
      <c r="V214" s="3" t="n"/>
      <c r="W214" s="3" t="n"/>
      <c r="X214" s="2">
        <f>IF(COUNTA(O214:Q214)&lt;3,"",IF(AND(O214=P214,P214=Q214),O214,IF(O214=P214,O214,IF(O214=Q214,O214,IF(P214=Q214,P214,"판정 불능")))))</f>
        <v/>
      </c>
      <c r="Y214" s="2">
        <f>IF(COUNTA(O214:Q214)&lt;3,"",IF(AND(O214=P214,P214=Q214),"3/3",IF(OR(O214=P214,O214=Q214,P214=Q214),"2/3","0/3")))</f>
        <v/>
      </c>
    </row>
    <row r="215">
      <c r="A215" s="2" t="n">
        <v>214</v>
      </c>
      <c r="B215" s="2" t="inlineStr">
        <is>
          <t>W4416034223</t>
        </is>
      </c>
      <c r="C215" s="2" t="inlineStr">
        <is>
          <t>When Instructions Multiply: Measuring and Estimating</t>
        </is>
      </c>
      <c r="D215" s="2" t="inlineStr">
        <is>
          <t>custom</t>
        </is>
      </c>
      <c r="E215" s="2" t="n">
        <v>0.57</v>
      </c>
      <c r="F215" s="2" t="inlineStr">
        <is>
          <t>A</t>
        </is>
      </c>
      <c r="G215" s="2" t="n">
        <v>0.838</v>
      </c>
      <c r="H215" s="2" t="n">
        <v>0.792</v>
      </c>
      <c r="I215" s="2" t="n">
        <v>0.884</v>
      </c>
      <c r="J215" s="2" t="inlineStr">
        <is>
          <t>216</t>
        </is>
      </c>
      <c r="K215" s="2" t="inlineStr">
        <is>
          <t>0</t>
        </is>
      </c>
      <c r="L215" s="2" t="inlineStr"/>
      <c r="M215" s="2" t="inlineStr">
        <is>
          <t>편차</t>
        </is>
      </c>
      <c r="N215" s="2" t="inlineStr"/>
      <c r="O215" s="3" t="n"/>
      <c r="P215" s="3" t="n"/>
      <c r="Q215" s="3" t="n"/>
      <c r="R215" s="3" t="n"/>
      <c r="S215" s="3" t="n"/>
      <c r="T215" s="3" t="n"/>
      <c r="U215" s="3" t="n"/>
      <c r="V215" s="3" t="n"/>
      <c r="W215" s="3" t="n"/>
      <c r="X215" s="2">
        <f>IF(COUNTA(O215:Q215)&lt;3,"",IF(AND(O215=P215,P215=Q215),O215,IF(O215=P215,O215,IF(O215=Q215,O215,IF(P215=Q215,P215,"판정 불능")))))</f>
        <v/>
      </c>
      <c r="Y215" s="2">
        <f>IF(COUNTA(O215:Q215)&lt;3,"",IF(AND(O215=P215,P215=Q215),"3/3",IF(OR(O215=P215,O215=Q215,P215=Q215),"2/3","0/3")))</f>
        <v/>
      </c>
    </row>
    <row r="216">
      <c r="A216" s="2" t="n">
        <v>215</v>
      </c>
      <c r="B216" s="2" t="inlineStr">
        <is>
          <t>W4416034223</t>
        </is>
      </c>
      <c r="C216" s="2" t="inlineStr">
        <is>
          <t>When Instructions Multiply: Measuring and Estimating</t>
        </is>
      </c>
      <c r="D216" s="2" t="inlineStr">
        <is>
          <t>custom</t>
        </is>
      </c>
      <c r="E216" s="2" t="n">
        <v>0.57</v>
      </c>
      <c r="F216" s="2" t="inlineStr">
        <is>
          <t>B</t>
        </is>
      </c>
      <c r="G216" s="2" t="n">
        <v>0.5416666666666667</v>
      </c>
      <c r="H216" s="2" t="n">
        <v>0.4722222222222222</v>
      </c>
      <c r="I216" s="2" t="n">
        <v>0.6018518518518519</v>
      </c>
      <c r="J216" s="2" t="n">
        <v>216</v>
      </c>
      <c r="K216" s="2" t="n">
        <v>0</v>
      </c>
      <c r="L216" s="2" t="inlineStr"/>
      <c r="M216" s="2" t="inlineStr">
        <is>
          <t>재현</t>
        </is>
      </c>
      <c r="N216" s="2" t="inlineStr"/>
      <c r="O216" s="3" t="n"/>
      <c r="P216" s="3" t="n"/>
      <c r="Q216" s="3" t="n"/>
      <c r="R216" s="3" t="n"/>
      <c r="S216" s="3" t="n"/>
      <c r="T216" s="3" t="n"/>
      <c r="U216" s="3" t="n"/>
      <c r="V216" s="3" t="n"/>
      <c r="W216" s="3" t="n"/>
      <c r="X216" s="2">
        <f>IF(COUNTA(O216:Q216)&lt;3,"",IF(AND(O216=P216,P216=Q216),O216,IF(O216=P216,O216,IF(O216=Q216,O216,IF(P216=Q216,P216,"판정 불능")))))</f>
        <v/>
      </c>
      <c r="Y216" s="2">
        <f>IF(COUNTA(O216:Q216)&lt;3,"",IF(AND(O216=P216,P216=Q216),"3/3",IF(OR(O216=P216,O216=Q216,P216=Q216),"2/3","0/3")))</f>
        <v/>
      </c>
    </row>
    <row r="217">
      <c r="A217" s="2" t="n">
        <v>216</v>
      </c>
      <c r="B217" s="2" t="inlineStr">
        <is>
          <t>W4416034223</t>
        </is>
      </c>
      <c r="C217" s="2" t="inlineStr">
        <is>
          <t>When Instructions Multiply: Measuring and Estimating</t>
        </is>
      </c>
      <c r="D217" s="2" t="inlineStr">
        <is>
          <t>custom</t>
        </is>
      </c>
      <c r="E217" s="2" t="n">
        <v>0.57</v>
      </c>
      <c r="F217" s="2" t="inlineStr">
        <is>
          <t>C</t>
        </is>
      </c>
      <c r="G217" s="2" t="n">
        <v>0.731</v>
      </c>
      <c r="H217" s="2" t="n">
        <v>0.671</v>
      </c>
      <c r="I217" s="2" t="n">
        <v>0.787</v>
      </c>
      <c r="J217" s="2" t="inlineStr">
        <is>
          <t>216</t>
        </is>
      </c>
      <c r="K217" s="2" t="inlineStr">
        <is>
          <t>0</t>
        </is>
      </c>
      <c r="L217" s="2" t="inlineStr"/>
      <c r="M217" s="2" t="inlineStr">
        <is>
          <t>편차</t>
        </is>
      </c>
      <c r="N217" s="2" t="inlineStr"/>
      <c r="O217" s="3" t="n"/>
      <c r="P217" s="3" t="n"/>
      <c r="Q217" s="3" t="n"/>
      <c r="R217" s="3" t="n"/>
      <c r="S217" s="3" t="n"/>
      <c r="T217" s="3" t="n"/>
      <c r="U217" s="3" t="n"/>
      <c r="V217" s="3" t="n"/>
      <c r="W217" s="3" t="n"/>
      <c r="X217" s="2">
        <f>IF(COUNTA(O217:Q217)&lt;3,"",IF(AND(O217=P217,P217=Q217),O217,IF(O217=P217,O217,IF(O217=Q217,O217,IF(P217=Q217,P217,"판정 불능")))))</f>
        <v/>
      </c>
      <c r="Y217" s="2">
        <f>IF(COUNTA(O217:Q217)&lt;3,"",IF(AND(O217=P217,P217=Q217),"3/3",IF(OR(O217=P217,O217=Q217,P217=Q217),"2/3","0/3")))</f>
        <v/>
      </c>
    </row>
    <row r="218">
      <c r="A218" s="2" t="n">
        <v>217</v>
      </c>
      <c r="B218" s="2" t="inlineStr">
        <is>
          <t>W4416034223</t>
        </is>
      </c>
      <c r="C218" s="2" t="inlineStr">
        <is>
          <t>When Instructions Multiply: Measuring and Estimating</t>
        </is>
      </c>
      <c r="D218" s="2" t="inlineStr">
        <is>
          <t>custom</t>
        </is>
      </c>
      <c r="E218" s="2" t="n">
        <v>0.57</v>
      </c>
      <c r="F218" s="2" t="inlineStr">
        <is>
          <t>D</t>
        </is>
      </c>
      <c r="G218" s="2" t="n">
        <v>0.898</v>
      </c>
      <c r="H218" s="2" t="n">
        <v>0.856</v>
      </c>
      <c r="I218" s="2" t="n">
        <v>0.9350000000000001</v>
      </c>
      <c r="J218" s="2" t="inlineStr">
        <is>
          <t>215</t>
        </is>
      </c>
      <c r="K218" s="2" t="inlineStr">
        <is>
          <t>0</t>
        </is>
      </c>
      <c r="L218" s="2" t="inlineStr"/>
      <c r="M218" s="2" t="inlineStr">
        <is>
          <t>편차</t>
        </is>
      </c>
      <c r="N218" s="2" t="inlineStr"/>
      <c r="O218" s="3" t="n"/>
      <c r="P218" s="3" t="n"/>
      <c r="Q218" s="3" t="n"/>
      <c r="R218" s="3" t="n"/>
      <c r="S218" s="3" t="n"/>
      <c r="T218" s="3" t="n"/>
      <c r="U218" s="3" t="n"/>
      <c r="V218" s="3" t="n"/>
      <c r="W218" s="3" t="n"/>
      <c r="X218" s="2">
        <f>IF(COUNTA(O218:Q218)&lt;3,"",IF(AND(O218=P218,P218=Q218),O218,IF(O218=P218,O218,IF(O218=Q218,O218,IF(P218=Q218,P218,"판정 불능")))))</f>
        <v/>
      </c>
      <c r="Y218" s="2">
        <f>IF(COUNTA(O218:Q218)&lt;3,"",IF(AND(O218=P218,P218=Q218),"3/3",IF(OR(O218=P218,O218=Q218,P218=Q218),"2/3","0/3")))</f>
        <v/>
      </c>
    </row>
    <row r="219">
      <c r="A219" s="2" t="n">
        <v>218</v>
      </c>
      <c r="B219" s="2" t="inlineStr">
        <is>
          <t>W4416034223</t>
        </is>
      </c>
      <c r="C219" s="2" t="inlineStr">
        <is>
          <t>When Instructions Multiply: Measuring and Estimating</t>
        </is>
      </c>
      <c r="D219" s="2" t="inlineStr">
        <is>
          <t>custom</t>
        </is>
      </c>
      <c r="E219" s="2" t="n">
        <v>0.57</v>
      </c>
      <c r="F219" s="2" t="inlineStr">
        <is>
          <t>E</t>
        </is>
      </c>
      <c r="G219" s="2" t="n">
        <v>0.699</v>
      </c>
      <c r="H219" s="2" t="n">
        <v>0.639</v>
      </c>
      <c r="I219" s="2" t="n">
        <v>0.759</v>
      </c>
      <c r="J219" s="2" t="inlineStr">
        <is>
          <t>216</t>
        </is>
      </c>
      <c r="K219" s="2" t="inlineStr">
        <is>
          <t>0</t>
        </is>
      </c>
      <c r="L219" s="2" t="inlineStr"/>
      <c r="M219" s="2" t="inlineStr">
        <is>
          <t>편차</t>
        </is>
      </c>
      <c r="N219" s="2" t="inlineStr"/>
      <c r="O219" s="3" t="n"/>
      <c r="P219" s="3" t="n"/>
      <c r="Q219" s="3" t="n"/>
      <c r="R219" s="3" t="n"/>
      <c r="S219" s="3" t="n"/>
      <c r="T219" s="3" t="n"/>
      <c r="U219" s="3" t="n"/>
      <c r="V219" s="3" t="n"/>
      <c r="W219" s="3" t="n"/>
      <c r="X219" s="2">
        <f>IF(COUNTA(O219:Q219)&lt;3,"",IF(AND(O219=P219,P219=Q219),O219,IF(O219=P219,O219,IF(O219=Q219,O219,IF(P219=Q219,P219,"판정 불능")))))</f>
        <v/>
      </c>
      <c r="Y219" s="2">
        <f>IF(COUNTA(O219:Q219)&lt;3,"",IF(AND(O219=P219,P219=Q219),"3/3",IF(OR(O219=P219,O219=Q219,P219=Q219),"2/3","0/3")))</f>
        <v/>
      </c>
    </row>
    <row r="220">
      <c r="A220" s="2" t="n">
        <v>219</v>
      </c>
      <c r="B220" s="2" t="inlineStr">
        <is>
          <t>W4416034248</t>
        </is>
      </c>
      <c r="C220" s="2" t="inlineStr">
        <is>
          <t>Can LLMs Truly Plan? A Comprehensive Evaluation of P</t>
        </is>
      </c>
      <c r="D220" s="2" t="inlineStr">
        <is>
          <t>custom</t>
        </is>
      </c>
      <c r="E220" s="2" t="n">
        <v>17.65</v>
      </c>
      <c r="F220" s="2" t="inlineStr">
        <is>
          <t>A</t>
        </is>
      </c>
      <c r="G220" s="2" t="n">
        <v>67.157</v>
      </c>
      <c r="H220" s="2" t="n">
        <v>60.294</v>
      </c>
      <c r="I220" s="2" t="n">
        <v>73.039</v>
      </c>
      <c r="J220" s="2" t="inlineStr">
        <is>
          <t>204</t>
        </is>
      </c>
      <c r="K220" s="2" t="inlineStr">
        <is>
          <t>10</t>
        </is>
      </c>
      <c r="L220" s="2" t="inlineStr"/>
      <c r="M220" s="2" t="inlineStr">
        <is>
          <t>편차</t>
        </is>
      </c>
      <c r="N220" s="2" t="inlineStr"/>
      <c r="O220" s="3" t="n"/>
      <c r="P220" s="3" t="n"/>
      <c r="Q220" s="3" t="n"/>
      <c r="R220" s="3" t="n"/>
      <c r="S220" s="3" t="n"/>
      <c r="T220" s="3" t="n"/>
      <c r="U220" s="3" t="n"/>
      <c r="V220" s="3" t="n"/>
      <c r="W220" s="3" t="n"/>
      <c r="X220" s="2">
        <f>IF(COUNTA(O220:Q220)&lt;3,"",IF(AND(O220=P220,P220=Q220),O220,IF(O220=P220,O220,IF(O220=Q220,O220,IF(P220=Q220,P220,"판정 불능")))))</f>
        <v/>
      </c>
      <c r="Y220" s="2">
        <f>IF(COUNTA(O220:Q220)&lt;3,"",IF(AND(O220=P220,P220=Q220),"3/3",IF(OR(O220=P220,O220=Q220,P220=Q220),"2/3","0/3")))</f>
        <v/>
      </c>
    </row>
    <row r="221">
      <c r="A221" s="2" t="n">
        <v>220</v>
      </c>
      <c r="B221" s="2" t="inlineStr">
        <is>
          <t>W4416034248</t>
        </is>
      </c>
      <c r="C221" s="2" t="inlineStr">
        <is>
          <t>Can LLMs Truly Plan? A Comprehensive Evaluation of P</t>
        </is>
      </c>
      <c r="D221" s="2" t="inlineStr">
        <is>
          <t>custom</t>
        </is>
      </c>
      <c r="E221" s="2" t="n">
        <v>17.65</v>
      </c>
      <c r="F221" s="2" t="inlineStr">
        <is>
          <t>B</t>
        </is>
      </c>
      <c r="G221" s="2" t="n">
        <v>14.216</v>
      </c>
      <c r="H221" s="2" t="n">
        <v>9.804</v>
      </c>
      <c r="I221" s="2" t="n">
        <v>19.118</v>
      </c>
      <c r="J221" s="2" t="inlineStr">
        <is>
          <t>204</t>
        </is>
      </c>
      <c r="K221" s="2" t="inlineStr">
        <is>
          <t>0</t>
        </is>
      </c>
      <c r="L221" s="2" t="inlineStr"/>
      <c r="M221" s="2" t="inlineStr">
        <is>
          <t>재현</t>
        </is>
      </c>
      <c r="N221" s="2" t="inlineStr"/>
      <c r="O221" s="3" t="n"/>
      <c r="P221" s="3" t="n"/>
      <c r="Q221" s="3" t="n"/>
      <c r="R221" s="3" t="n"/>
      <c r="S221" s="3" t="n"/>
      <c r="T221" s="3" t="n"/>
      <c r="U221" s="3" t="n"/>
      <c r="V221" s="3" t="n"/>
      <c r="W221" s="3" t="n"/>
      <c r="X221" s="2">
        <f>IF(COUNTA(O221:Q221)&lt;3,"",IF(AND(O221=P221,P221=Q221),O221,IF(O221=P221,O221,IF(O221=Q221,O221,IF(P221=Q221,P221,"판정 불능")))))</f>
        <v/>
      </c>
      <c r="Y221" s="2">
        <f>IF(COUNTA(O221:Q221)&lt;3,"",IF(AND(O221=P221,P221=Q221),"3/3",IF(OR(O221=P221,O221=Q221,P221=Q221),"2/3","0/3")))</f>
        <v/>
      </c>
    </row>
    <row r="222">
      <c r="A222" s="2" t="n">
        <v>221</v>
      </c>
      <c r="B222" s="2" t="inlineStr">
        <is>
          <t>W4416034248</t>
        </is>
      </c>
      <c r="C222" s="2" t="inlineStr">
        <is>
          <t>Can LLMs Truly Plan? A Comprehensive Evaluation of P</t>
        </is>
      </c>
      <c r="D222" s="2" t="inlineStr">
        <is>
          <t>custom</t>
        </is>
      </c>
      <c r="E222" s="2" t="n">
        <v>17.65</v>
      </c>
      <c r="F222" s="2" t="inlineStr">
        <is>
          <t>C</t>
        </is>
      </c>
      <c r="G222" s="2" t="n">
        <v>28.922</v>
      </c>
      <c r="H222" s="2" t="n">
        <v>23.039</v>
      </c>
      <c r="I222" s="2" t="n">
        <v>34.816</v>
      </c>
      <c r="J222" s="2" t="inlineStr">
        <is>
          <t>204</t>
        </is>
      </c>
      <c r="K222" s="2" t="inlineStr">
        <is>
          <t>0</t>
        </is>
      </c>
      <c r="L222" s="2" t="inlineStr"/>
      <c r="M222" s="2" t="inlineStr">
        <is>
          <t>편차</t>
        </is>
      </c>
      <c r="N222" s="2" t="inlineStr"/>
      <c r="O222" s="3" t="n"/>
      <c r="P222" s="3" t="n"/>
      <c r="Q222" s="3" t="n"/>
      <c r="R222" s="3" t="n"/>
      <c r="S222" s="3" t="n"/>
      <c r="T222" s="3" t="n"/>
      <c r="U222" s="3" t="n"/>
      <c r="V222" s="3" t="n"/>
      <c r="W222" s="3" t="n"/>
      <c r="X222" s="2">
        <f>IF(COUNTA(O222:Q222)&lt;3,"",IF(AND(O222=P222,P222=Q222),O222,IF(O222=P222,O222,IF(O222=Q222,O222,IF(P222=Q222,P222,"판정 불능")))))</f>
        <v/>
      </c>
      <c r="Y222" s="2">
        <f>IF(COUNTA(O222:Q222)&lt;3,"",IF(AND(O222=P222,P222=Q222),"3/3",IF(OR(O222=P222,O222=Q222,P222=Q222),"2/3","0/3")))</f>
        <v/>
      </c>
    </row>
    <row r="223">
      <c r="A223" s="2" t="n">
        <v>222</v>
      </c>
      <c r="B223" s="2" t="inlineStr">
        <is>
          <t>W4416034248</t>
        </is>
      </c>
      <c r="C223" s="2" t="inlineStr">
        <is>
          <t>Can LLMs Truly Plan? A Comprehensive Evaluation of P</t>
        </is>
      </c>
      <c r="D223" s="2" t="inlineStr">
        <is>
          <t>custom</t>
        </is>
      </c>
      <c r="E223" s="2" t="n">
        <v>17.65</v>
      </c>
      <c r="F223" s="2" t="inlineStr">
        <is>
          <t>D</t>
        </is>
      </c>
      <c r="G223" s="2" t="n">
        <v>28.75816993464053</v>
      </c>
      <c r="H223" s="2" t="n">
        <v>22.54901960784314</v>
      </c>
      <c r="I223" s="2" t="n">
        <v>34.80392156862745</v>
      </c>
      <c r="J223" s="2" t="n">
        <v>204</v>
      </c>
      <c r="K223" s="2" t="n">
        <v>0</v>
      </c>
      <c r="L223" s="2" t="inlineStr"/>
      <c r="M223" s="2" t="inlineStr">
        <is>
          <t>편차</t>
        </is>
      </c>
      <c r="N223" s="2" t="inlineStr"/>
      <c r="O223" s="3" t="n"/>
      <c r="P223" s="3" t="n"/>
      <c r="Q223" s="3" t="n"/>
      <c r="R223" s="3" t="n"/>
      <c r="S223" s="3" t="n"/>
      <c r="T223" s="3" t="n"/>
      <c r="U223" s="3" t="n"/>
      <c r="V223" s="3" t="n"/>
      <c r="W223" s="3" t="n"/>
      <c r="X223" s="2">
        <f>IF(COUNTA(O223:Q223)&lt;3,"",IF(AND(O223=P223,P223=Q223),O223,IF(O223=P223,O223,IF(O223=Q223,O223,IF(P223=Q223,P223,"판정 불능")))))</f>
        <v/>
      </c>
      <c r="Y223" s="2">
        <f>IF(COUNTA(O223:Q223)&lt;3,"",IF(AND(O223=P223,P223=Q223),"3/3",IF(OR(O223=P223,O223=Q223,P223=Q223),"2/3","0/3")))</f>
        <v/>
      </c>
    </row>
    <row r="224">
      <c r="A224" s="2" t="n">
        <v>223</v>
      </c>
      <c r="B224" s="2" t="inlineStr">
        <is>
          <t>W4416034248</t>
        </is>
      </c>
      <c r="C224" s="2" t="inlineStr">
        <is>
          <t>Can LLMs Truly Plan? A Comprehensive Evaluation of P</t>
        </is>
      </c>
      <c r="D224" s="2" t="inlineStr">
        <is>
          <t>custom</t>
        </is>
      </c>
      <c r="E224" s="2" t="n">
        <v>17.65</v>
      </c>
      <c r="F224" s="2" t="inlineStr">
        <is>
          <t>E</t>
        </is>
      </c>
      <c r="G224" s="2" t="n">
        <v>69.11799999999999</v>
      </c>
      <c r="H224" s="2" t="n">
        <v>62.255</v>
      </c>
      <c r="I224" s="2" t="n">
        <v>75.012</v>
      </c>
      <c r="J224" s="2" t="inlineStr">
        <is>
          <t>204</t>
        </is>
      </c>
      <c r="K224" s="2" t="inlineStr">
        <is>
          <t>0</t>
        </is>
      </c>
      <c r="L224" s="2" t="inlineStr"/>
      <c r="M224" s="2" t="inlineStr">
        <is>
          <t>편차</t>
        </is>
      </c>
      <c r="N224" s="2" t="inlineStr"/>
      <c r="O224" s="3" t="n"/>
      <c r="P224" s="3" t="n"/>
      <c r="Q224" s="3" t="n"/>
      <c r="R224" s="3" t="n"/>
      <c r="S224" s="3" t="n"/>
      <c r="T224" s="3" t="n"/>
      <c r="U224" s="3" t="n"/>
      <c r="V224" s="3" t="n"/>
      <c r="W224" s="3" t="n"/>
      <c r="X224" s="2">
        <f>IF(COUNTA(O224:Q224)&lt;3,"",IF(AND(O224=P224,P224=Q224),O224,IF(O224=P224,O224,IF(O224=Q224,O224,IF(P224=Q224,P224,"판정 불능")))))</f>
        <v/>
      </c>
      <c r="Y224" s="2">
        <f>IF(COUNTA(O224:Q224)&lt;3,"",IF(AND(O224=P224,P224=Q224),"3/3",IF(OR(O224=P224,O224=Q224,P224=Q224),"2/3","0/3")))</f>
        <v/>
      </c>
    </row>
    <row r="225">
      <c r="A225" s="2" t="n">
        <v>224</v>
      </c>
      <c r="B225" s="2" t="inlineStr">
        <is>
          <t>W4416034345</t>
        </is>
      </c>
      <c r="C225" s="2" t="inlineStr">
        <is>
          <t>Unlocking Legal Knowledge: A Multilingual Dataset fo</t>
        </is>
      </c>
      <c r="D225" s="2" t="inlineStr">
        <is>
          <t>rouge_l</t>
        </is>
      </c>
      <c r="E225" s="2" t="n">
        <v>18.21</v>
      </c>
      <c r="F225" s="2" t="inlineStr">
        <is>
          <t>A</t>
        </is>
      </c>
      <c r="G225" s="2" t="n">
        <v>18.50674396831814</v>
      </c>
      <c r="H225" s="2" t="n">
        <v>18.05728128905747</v>
      </c>
      <c r="I225" s="2" t="n">
        <v>18.69796371633424</v>
      </c>
      <c r="J225" s="2" t="n">
        <v>852</v>
      </c>
      <c r="K225" s="2" t="n">
        <v>0</v>
      </c>
      <c r="L225" s="2" t="inlineStr"/>
      <c r="M225" s="2" t="inlineStr">
        <is>
          <t>재현</t>
        </is>
      </c>
      <c r="N225" s="2" t="inlineStr"/>
      <c r="O225" s="3" t="n"/>
      <c r="P225" s="3" t="n"/>
      <c r="Q225" s="3" t="n"/>
      <c r="R225" s="3" t="n"/>
      <c r="S225" s="3" t="n"/>
      <c r="T225" s="3" t="n"/>
      <c r="U225" s="3" t="n"/>
      <c r="V225" s="3" t="n"/>
      <c r="W225" s="3" t="n"/>
      <c r="X225" s="2">
        <f>IF(COUNTA(O225:Q225)&lt;3,"",IF(AND(O225=P225,P225=Q225),O225,IF(O225=P225,O225,IF(O225=Q225,O225,IF(P225=Q225,P225,"판정 불능")))))</f>
        <v/>
      </c>
      <c r="Y225" s="2">
        <f>IF(COUNTA(O225:Q225)&lt;3,"",IF(AND(O225=P225,P225=Q225),"3/3",IF(OR(O225=P225,O225=Q225,P225=Q225),"2/3","0/3")))</f>
        <v/>
      </c>
    </row>
    <row r="226">
      <c r="A226" s="2" t="n">
        <v>225</v>
      </c>
      <c r="B226" s="2" t="inlineStr">
        <is>
          <t>W4416034777</t>
        </is>
      </c>
      <c r="C226" s="2" t="inlineStr">
        <is>
          <t>The Illusion of Randomness: How LLMs Fail to Emulate</t>
        </is>
      </c>
      <c r="D226" s="2" t="inlineStr">
        <is>
          <t>custom</t>
        </is>
      </c>
      <c r="E226" s="2" t="n">
        <v>0.107</v>
      </c>
      <c r="F226" s="2" t="inlineStr">
        <is>
          <t>A</t>
        </is>
      </c>
      <c r="G226" s="2" t="n">
        <v>0.487</v>
      </c>
      <c r="H226" s="2" t="n">
        <v>0.407</v>
      </c>
      <c r="I226" s="2" t="n">
        <v>0.5570000000000001</v>
      </c>
      <c r="J226" s="2" t="inlineStr">
        <is>
          <t>100</t>
        </is>
      </c>
      <c r="K226" s="2" t="inlineStr">
        <is>
          <t>0</t>
        </is>
      </c>
      <c r="L226" s="2" t="inlineStr"/>
      <c r="M226" s="2" t="inlineStr">
        <is>
          <t>편차</t>
        </is>
      </c>
      <c r="N226" s="2" t="inlineStr"/>
      <c r="O226" s="3" t="n"/>
      <c r="P226" s="3" t="n"/>
      <c r="Q226" s="3" t="n"/>
      <c r="R226" s="3" t="n"/>
      <c r="S226" s="3" t="n"/>
      <c r="T226" s="3" t="n"/>
      <c r="U226" s="3" t="n"/>
      <c r="V226" s="3" t="n"/>
      <c r="W226" s="3" t="n"/>
      <c r="X226" s="2">
        <f>IF(COUNTA(O226:Q226)&lt;3,"",IF(AND(O226=P226,P226=Q226),O226,IF(O226=P226,O226,IF(O226=Q226,O226,IF(P226=Q226,P226,"판정 불능")))))</f>
        <v/>
      </c>
      <c r="Y226" s="2">
        <f>IF(COUNTA(O226:Q226)&lt;3,"",IF(AND(O226=P226,P226=Q226),"3/3",IF(OR(O226=P226,O226=Q226,P226=Q226),"2/3","0/3")))</f>
        <v/>
      </c>
    </row>
    <row r="227">
      <c r="A227" s="2" t="n">
        <v>226</v>
      </c>
      <c r="B227" s="2" t="inlineStr">
        <is>
          <t>W4416034777</t>
        </is>
      </c>
      <c r="C227" s="2" t="inlineStr">
        <is>
          <t>The Illusion of Randomness: How LLMs Fail to Emulate</t>
        </is>
      </c>
      <c r="D227" s="2" t="inlineStr">
        <is>
          <t>custom</t>
        </is>
      </c>
      <c r="E227" s="2" t="n">
        <v>0.107</v>
      </c>
      <c r="F227" s="2" t="inlineStr">
        <is>
          <t>B</t>
        </is>
      </c>
      <c r="G227" s="2" t="n">
        <v>0.057</v>
      </c>
      <c r="H227" s="2" t="n">
        <v>0.017</v>
      </c>
      <c r="I227" s="2" t="n">
        <v>0.162</v>
      </c>
      <c r="J227" s="2" t="inlineStr">
        <is>
          <t>100</t>
        </is>
      </c>
      <c r="K227" s="2" t="inlineStr">
        <is>
          <t>0</t>
        </is>
      </c>
      <c r="L227" s="2" t="inlineStr"/>
      <c r="M227" s="2" t="inlineStr">
        <is>
          <t>재현</t>
        </is>
      </c>
      <c r="N227" s="2" t="inlineStr"/>
      <c r="O227" s="3" t="n"/>
      <c r="P227" s="3" t="n"/>
      <c r="Q227" s="3" t="n"/>
      <c r="R227" s="3" t="n"/>
      <c r="S227" s="3" t="n"/>
      <c r="T227" s="3" t="n"/>
      <c r="U227" s="3" t="n"/>
      <c r="V227" s="3" t="n"/>
      <c r="W227" s="3" t="n"/>
      <c r="X227" s="2">
        <f>IF(COUNTA(O227:Q227)&lt;3,"",IF(AND(O227=P227,P227=Q227),O227,IF(O227=P227,O227,IF(O227=Q227,O227,IF(P227=Q227,P227,"판정 불능")))))</f>
        <v/>
      </c>
      <c r="Y227" s="2">
        <f>IF(COUNTA(O227:Q227)&lt;3,"",IF(AND(O227=P227,P227=Q227),"3/3",IF(OR(O227=P227,O227=Q227,P227=Q227),"2/3","0/3")))</f>
        <v/>
      </c>
    </row>
    <row r="228">
      <c r="A228" s="2" t="n">
        <v>227</v>
      </c>
      <c r="B228" s="2" t="inlineStr">
        <is>
          <t>W4416034777</t>
        </is>
      </c>
      <c r="C228" s="2" t="inlineStr">
        <is>
          <t>The Illusion of Randomness: How LLMs Fail to Emulate</t>
        </is>
      </c>
      <c r="D228" s="2" t="inlineStr">
        <is>
          <t>custom</t>
        </is>
      </c>
      <c r="E228" s="2" t="n">
        <v>0.107</v>
      </c>
      <c r="F228" s="2" t="inlineStr">
        <is>
          <t>C</t>
        </is>
      </c>
      <c r="G228" s="2" t="n">
        <v>0.05228540812178989</v>
      </c>
      <c r="H228" s="2" t="n">
        <v>0.01718213058419243</v>
      </c>
      <c r="I228" s="2" t="n">
        <v>0.1590125644329896</v>
      </c>
      <c r="J228" s="2" t="n">
        <v>100</v>
      </c>
      <c r="K228" s="2" t="n">
        <v>13</v>
      </c>
      <c r="L228" s="2" t="inlineStr"/>
      <c r="M228" s="2" t="inlineStr">
        <is>
          <t>재현</t>
        </is>
      </c>
      <c r="N228" s="2" t="inlineStr"/>
      <c r="O228" s="3" t="n"/>
      <c r="P228" s="3" t="n"/>
      <c r="Q228" s="3" t="n"/>
      <c r="R228" s="3" t="n"/>
      <c r="S228" s="3" t="n"/>
      <c r="T228" s="3" t="n"/>
      <c r="U228" s="3" t="n"/>
      <c r="V228" s="3" t="n"/>
      <c r="W228" s="3" t="n"/>
      <c r="X228" s="2">
        <f>IF(COUNTA(O228:Q228)&lt;3,"",IF(AND(O228=P228,P228=Q228),O228,IF(O228=P228,O228,IF(O228=Q228,O228,IF(P228=Q228,P228,"판정 불능")))))</f>
        <v/>
      </c>
      <c r="Y228" s="2">
        <f>IF(COUNTA(O228:Q228)&lt;3,"",IF(AND(O228=P228,P228=Q228),"3/3",IF(OR(O228=P228,O228=Q228,P228=Q228),"2/3","0/3")))</f>
        <v/>
      </c>
    </row>
    <row r="229">
      <c r="A229" s="2" t="n">
        <v>228</v>
      </c>
      <c r="B229" s="2" t="inlineStr">
        <is>
          <t>W4416034777</t>
        </is>
      </c>
      <c r="C229" s="2" t="inlineStr">
        <is>
          <t>The Illusion of Randomness: How LLMs Fail to Emulate</t>
        </is>
      </c>
      <c r="D229" s="2" t="inlineStr">
        <is>
          <t>custom</t>
        </is>
      </c>
      <c r="E229" s="2" t="n">
        <v>0.107</v>
      </c>
      <c r="F229" s="2" t="inlineStr">
        <is>
          <t>D</t>
        </is>
      </c>
      <c r="G229" s="2" t="n">
        <v>0.527</v>
      </c>
      <c r="H229" s="2" t="n">
        <v>0.457</v>
      </c>
      <c r="I229" s="2" t="n">
        <v>0.587</v>
      </c>
      <c r="J229" s="2" t="inlineStr">
        <is>
          <t>100</t>
        </is>
      </c>
      <c r="K229" s="2" t="inlineStr">
        <is>
          <t>0</t>
        </is>
      </c>
      <c r="L229" s="2" t="inlineStr"/>
      <c r="M229" s="2" t="inlineStr">
        <is>
          <t>편차</t>
        </is>
      </c>
      <c r="N229" s="2" t="inlineStr"/>
      <c r="O229" s="3" t="n"/>
      <c r="P229" s="3" t="n"/>
      <c r="Q229" s="3" t="n"/>
      <c r="R229" s="3" t="n"/>
      <c r="S229" s="3" t="n"/>
      <c r="T229" s="3" t="n"/>
      <c r="U229" s="3" t="n"/>
      <c r="V229" s="3" t="n"/>
      <c r="W229" s="3" t="n"/>
      <c r="X229" s="2">
        <f>IF(COUNTA(O229:Q229)&lt;3,"",IF(AND(O229=P229,P229=Q229),O229,IF(O229=P229,O229,IF(O229=Q229,O229,IF(P229=Q229,P229,"판정 불능")))))</f>
        <v/>
      </c>
      <c r="Y229" s="2">
        <f>IF(COUNTA(O229:Q229)&lt;3,"",IF(AND(O229=P229,P229=Q229),"3/3",IF(OR(O229=P229,O229=Q229,P229=Q229),"2/3","0/3")))</f>
        <v/>
      </c>
    </row>
    <row r="230">
      <c r="A230" s="2" t="n">
        <v>229</v>
      </c>
      <c r="B230" s="2" t="inlineStr">
        <is>
          <t>W4416034777</t>
        </is>
      </c>
      <c r="C230" s="2" t="inlineStr">
        <is>
          <t>The Illusion of Randomness: How LLMs Fail to Emulate</t>
        </is>
      </c>
      <c r="D230" s="2" t="inlineStr">
        <is>
          <t>custom</t>
        </is>
      </c>
      <c r="E230" s="2" t="n">
        <v>0.107</v>
      </c>
      <c r="F230" s="2" t="inlineStr">
        <is>
          <t>E</t>
        </is>
      </c>
      <c r="G230" s="2" t="n">
        <v>0.615</v>
      </c>
      <c r="H230" s="2" t="n">
        <v>0.569</v>
      </c>
      <c r="I230" s="2" t="n">
        <v>0.656</v>
      </c>
      <c r="J230" s="2" t="inlineStr">
        <is>
          <t>100</t>
        </is>
      </c>
      <c r="K230" s="2" t="inlineStr">
        <is>
          <t>3</t>
        </is>
      </c>
      <c r="L230" s="2" t="inlineStr"/>
      <c r="M230" s="2" t="inlineStr">
        <is>
          <t>편차</t>
        </is>
      </c>
      <c r="N230" s="2" t="inlineStr"/>
      <c r="O230" s="3" t="n"/>
      <c r="P230" s="3" t="n"/>
      <c r="Q230" s="3" t="n"/>
      <c r="R230" s="3" t="n"/>
      <c r="S230" s="3" t="n"/>
      <c r="T230" s="3" t="n"/>
      <c r="U230" s="3" t="n"/>
      <c r="V230" s="3" t="n"/>
      <c r="W230" s="3" t="n"/>
      <c r="X230" s="2">
        <f>IF(COUNTA(O230:Q230)&lt;3,"",IF(AND(O230=P230,P230=Q230),O230,IF(O230=P230,O230,IF(O230=Q230,O230,IF(P230=Q230,P230,"판정 불능")))))</f>
        <v/>
      </c>
      <c r="Y230" s="2">
        <f>IF(COUNTA(O230:Q230)&lt;3,"",IF(AND(O230=P230,P230=Q230),"3/3",IF(OR(O230=P230,O230=Q230,P230=Q230),"2/3","0/3")))</f>
        <v/>
      </c>
    </row>
    <row r="231">
      <c r="A231" s="2" t="n">
        <v>230</v>
      </c>
      <c r="B231" s="2" t="inlineStr">
        <is>
          <t>W4416035248</t>
        </is>
      </c>
      <c r="C231" s="2" t="inlineStr">
        <is>
          <t xml:space="preserve">CANDY: Benchmarking LLMs' Limitations and Assistive </t>
        </is>
      </c>
      <c r="D231" s="2" t="inlineStr">
        <is>
          <t>accuracy</t>
        </is>
      </c>
      <c r="E231" s="2" t="n">
        <v>72.2</v>
      </c>
      <c r="F231" s="2" t="inlineStr">
        <is>
          <t>A</t>
        </is>
      </c>
      <c r="G231" s="2" t="n">
        <v>75.27557532392187</v>
      </c>
      <c r="H231" s="2" t="n">
        <v>74.45368400696191</v>
      </c>
      <c r="I231" s="2" t="n">
        <v>76.09746664088183</v>
      </c>
      <c r="J231" s="2" t="n">
        <v>10342</v>
      </c>
      <c r="K231" s="2" t="n">
        <v>0</v>
      </c>
      <c r="L231" s="2" t="inlineStr"/>
      <c r="M231" s="2" t="inlineStr">
        <is>
          <t>근접</t>
        </is>
      </c>
      <c r="N231" s="2" t="inlineStr"/>
      <c r="O231" s="3" t="n"/>
      <c r="P231" s="3" t="n"/>
      <c r="Q231" s="3" t="n"/>
      <c r="R231" s="3" t="n"/>
      <c r="S231" s="3" t="n"/>
      <c r="T231" s="3" t="n"/>
      <c r="U231" s="3" t="n"/>
      <c r="V231" s="3" t="n"/>
      <c r="W231" s="3" t="n"/>
      <c r="X231" s="2">
        <f>IF(COUNTA(O231:Q231)&lt;3,"",IF(AND(O231=P231,P231=Q231),O231,IF(O231=P231,O231,IF(O231=Q231,O231,IF(P231=Q231,P231,"판정 불능")))))</f>
        <v/>
      </c>
      <c r="Y231" s="2">
        <f>IF(COUNTA(O231:Q231)&lt;3,"",IF(AND(O231=P231,P231=Q231),"3/3",IF(OR(O231=P231,O231=Q231,P231=Q231),"2/3","0/3")))</f>
        <v/>
      </c>
    </row>
    <row r="232">
      <c r="A232" s="2" t="n">
        <v>231</v>
      </c>
      <c r="B232" s="2" t="inlineStr">
        <is>
          <t>W4416035547</t>
        </is>
      </c>
      <c r="C232" s="2" t="inlineStr">
        <is>
          <t xml:space="preserve">Agent-to-Agent Theory of Mind: Testing Interlocutor </t>
        </is>
      </c>
      <c r="D232" s="2" t="inlineStr">
        <is>
          <t>accuracy</t>
        </is>
      </c>
      <c r="E232" s="2" t="n">
        <v>0.64</v>
      </c>
      <c r="F232" s="2" t="inlineStr">
        <is>
          <t>A</t>
        </is>
      </c>
      <c r="G232" s="2" t="n">
        <v>0.9466666666666667</v>
      </c>
      <c r="H232" s="2" t="n">
        <v>0.9</v>
      </c>
      <c r="I232" s="2" t="n">
        <v>0.99</v>
      </c>
      <c r="J232" s="2" t="n">
        <v>100</v>
      </c>
      <c r="K232" s="2" t="n">
        <v>0</v>
      </c>
      <c r="L232" s="2" t="inlineStr"/>
      <c r="M232" s="2" t="inlineStr">
        <is>
          <t>편차</t>
        </is>
      </c>
      <c r="N232" s="2" t="inlineStr"/>
      <c r="O232" s="3" t="n"/>
      <c r="P232" s="3" t="n"/>
      <c r="Q232" s="3" t="n"/>
      <c r="R232" s="3" t="n"/>
      <c r="S232" s="3" t="n"/>
      <c r="T232" s="3" t="n"/>
      <c r="U232" s="3" t="n"/>
      <c r="V232" s="3" t="n"/>
      <c r="W232" s="3" t="n"/>
      <c r="X232" s="2">
        <f>IF(COUNTA(O232:Q232)&lt;3,"",IF(AND(O232=P232,P232=Q232),O232,IF(O232=P232,O232,IF(O232=Q232,O232,IF(P232=Q232,P232,"판정 불능")))))</f>
        <v/>
      </c>
      <c r="Y232" s="2">
        <f>IF(COUNTA(O232:Q232)&lt;3,"",IF(AND(O232=P232,P232=Q232),"3/3",IF(OR(O232=P232,O232=Q232,P232=Q232),"2/3","0/3")))</f>
        <v/>
      </c>
    </row>
    <row r="233">
      <c r="A233" s="2" t="n">
        <v>232</v>
      </c>
      <c r="B233" s="2" t="inlineStr">
        <is>
          <t>W4416035547</t>
        </is>
      </c>
      <c r="C233" s="2" t="inlineStr">
        <is>
          <t xml:space="preserve">Agent-to-Agent Theory of Mind: Testing Interlocutor </t>
        </is>
      </c>
      <c r="D233" s="2" t="inlineStr">
        <is>
          <t>accuracy</t>
        </is>
      </c>
      <c r="E233" s="2" t="n">
        <v>0.64</v>
      </c>
      <c r="F233" s="2" t="inlineStr">
        <is>
          <t>B</t>
        </is>
      </c>
      <c r="G233" s="2" t="n">
        <v>0.89</v>
      </c>
      <c r="H233" s="2" t="n">
        <v>0.83</v>
      </c>
      <c r="I233" s="2" t="n">
        <v>0.95</v>
      </c>
      <c r="J233" s="2" t="inlineStr">
        <is>
          <t>100</t>
        </is>
      </c>
      <c r="K233" s="2" t="inlineStr">
        <is>
          <t>0</t>
        </is>
      </c>
      <c r="L233" s="2" t="inlineStr"/>
      <c r="M233" s="2" t="inlineStr">
        <is>
          <t>해당없음</t>
        </is>
      </c>
      <c r="N233" s="2" t="inlineStr"/>
      <c r="O233" s="3" t="n"/>
      <c r="P233" s="3" t="n"/>
      <c r="Q233" s="3" t="n"/>
      <c r="R233" s="3" t="n"/>
      <c r="S233" s="3" t="n"/>
      <c r="T233" s="3" t="n"/>
      <c r="U233" s="3" t="n"/>
      <c r="V233" s="3" t="n"/>
      <c r="W233" s="3" t="n"/>
      <c r="X233" s="2">
        <f>IF(COUNTA(O233:Q233)&lt;3,"",IF(AND(O233=P233,P233=Q233),O233,IF(O233=P233,O233,IF(O233=Q233,O233,IF(P233=Q233,P233,"판정 불능")))))</f>
        <v/>
      </c>
      <c r="Y233" s="2">
        <f>IF(COUNTA(O233:Q233)&lt;3,"",IF(AND(O233=P233,P233=Q233),"3/3",IF(OR(O233=P233,O233=Q233,P233=Q233),"2/3","0/3")))</f>
        <v/>
      </c>
    </row>
    <row r="234">
      <c r="A234" s="2" t="n">
        <v>233</v>
      </c>
      <c r="B234" s="2" t="inlineStr">
        <is>
          <t>W4416035547</t>
        </is>
      </c>
      <c r="C234" s="2" t="inlineStr">
        <is>
          <t xml:space="preserve">Agent-to-Agent Theory of Mind: Testing Interlocutor </t>
        </is>
      </c>
      <c r="D234" s="2" t="inlineStr">
        <is>
          <t>accuracy</t>
        </is>
      </c>
      <c r="E234" s="2" t="n">
        <v>0.64</v>
      </c>
      <c r="F234" s="2" t="inlineStr">
        <is>
          <t>C</t>
        </is>
      </c>
      <c r="G234" s="2" t="n">
        <v>0</v>
      </c>
      <c r="H234" s="2" t="n">
        <v>0</v>
      </c>
      <c r="I234" s="2" t="n">
        <v>0</v>
      </c>
      <c r="J234" s="2" t="inlineStr">
        <is>
          <t>100</t>
        </is>
      </c>
      <c r="K234" s="2" t="inlineStr">
        <is>
          <t>0</t>
        </is>
      </c>
      <c r="L234" s="2" t="inlineStr"/>
      <c r="M234" s="2" t="inlineStr">
        <is>
          <t>해당없음</t>
        </is>
      </c>
      <c r="N234" s="2" t="inlineStr"/>
      <c r="O234" s="3" t="n"/>
      <c r="P234" s="3" t="n"/>
      <c r="Q234" s="3" t="n"/>
      <c r="R234" s="3" t="n"/>
      <c r="S234" s="3" t="n"/>
      <c r="T234" s="3" t="n"/>
      <c r="U234" s="3" t="n"/>
      <c r="V234" s="3" t="n"/>
      <c r="W234" s="3" t="n"/>
      <c r="X234" s="2">
        <f>IF(COUNTA(O234:Q234)&lt;3,"",IF(AND(O234=P234,P234=Q234),O234,IF(O234=P234,O234,IF(O234=Q234,O234,IF(P234=Q234,P234,"판정 불능")))))</f>
        <v/>
      </c>
      <c r="Y234" s="2">
        <f>IF(COUNTA(O234:Q234)&lt;3,"",IF(AND(O234=P234,P234=Q234),"3/3",IF(OR(O234=P234,O234=Q234,P234=Q234),"2/3","0/3")))</f>
        <v/>
      </c>
    </row>
    <row r="235">
      <c r="A235" s="2" t="n">
        <v>234</v>
      </c>
      <c r="B235" s="2" t="inlineStr">
        <is>
          <t>W4416035547</t>
        </is>
      </c>
      <c r="C235" s="2" t="inlineStr">
        <is>
          <t xml:space="preserve">Agent-to-Agent Theory of Mind: Testing Interlocutor </t>
        </is>
      </c>
      <c r="D235" s="2" t="inlineStr">
        <is>
          <t>accuracy</t>
        </is>
      </c>
      <c r="E235" s="2" t="n">
        <v>0.64</v>
      </c>
      <c r="F235" s="2" t="inlineStr">
        <is>
          <t>D</t>
        </is>
      </c>
      <c r="G235" s="2" t="n">
        <v/>
      </c>
      <c r="H235" s="2" t="n">
        <v/>
      </c>
      <c r="I235" s="2" t="n">
        <v/>
      </c>
      <c r="J235" s="2" t="inlineStr">
        <is>
          <t>100</t>
        </is>
      </c>
      <c r="K235" s="2" t="inlineStr">
        <is>
          <t>0</t>
        </is>
      </c>
      <c r="L235" s="2" t="inlineStr"/>
      <c r="M235" s="2" t="inlineStr">
        <is>
          <t>해당없음</t>
        </is>
      </c>
      <c r="N235" s="2" t="inlineStr"/>
      <c r="O235" s="3" t="n"/>
      <c r="P235" s="3" t="n"/>
      <c r="Q235" s="3" t="n"/>
      <c r="R235" s="3" t="n"/>
      <c r="S235" s="3" t="n"/>
      <c r="T235" s="3" t="n"/>
      <c r="U235" s="3" t="n"/>
      <c r="V235" s="3" t="n"/>
      <c r="W235" s="3" t="n"/>
      <c r="X235" s="2">
        <f>IF(COUNTA(O235:Q235)&lt;3,"",IF(AND(O235=P235,P235=Q235),O235,IF(O235=P235,O235,IF(O235=Q235,O235,IF(P235=Q235,P235,"판정 불능")))))</f>
        <v/>
      </c>
      <c r="Y235" s="2">
        <f>IF(COUNTA(O235:Q235)&lt;3,"",IF(AND(O235=P235,P235=Q235),"3/3",IF(OR(O235=P235,O235=Q235,P235=Q235),"2/3","0/3")))</f>
        <v/>
      </c>
    </row>
    <row r="236">
      <c r="A236" s="2" t="n">
        <v>235</v>
      </c>
      <c r="B236" s="2" t="inlineStr">
        <is>
          <t>W4416036063</t>
        </is>
      </c>
      <c r="C236" s="2" t="inlineStr">
        <is>
          <t>sudoLLM: On Multi-role Alignment of Language Models</t>
        </is>
      </c>
      <c r="D236" s="2" t="inlineStr">
        <is>
          <t>accuracy</t>
        </is>
      </c>
      <c r="E236" s="2" t="n">
        <v>89.2</v>
      </c>
      <c r="F236" s="2" t="inlineStr">
        <is>
          <t>A</t>
        </is>
      </c>
      <c r="G236" s="2" t="n">
        <v>91.66666666666666</v>
      </c>
      <c r="H236" s="2" t="n">
        <v>89.16666666666667</v>
      </c>
      <c r="I236" s="2" t="n">
        <v>94.16666666666667</v>
      </c>
      <c r="J236" s="2" t="n">
        <v>480</v>
      </c>
      <c r="K236" s="2" t="n">
        <v>3</v>
      </c>
      <c r="L236" s="2" t="inlineStr">
        <is>
          <t>예</t>
        </is>
      </c>
      <c r="M236" s="2" t="inlineStr">
        <is>
          <t>재현</t>
        </is>
      </c>
      <c r="N236" s="2" t="inlineStr"/>
      <c r="O236" s="3" t="n"/>
      <c r="P236" s="3" t="n"/>
      <c r="Q236" s="3" t="n"/>
      <c r="R236" s="3" t="n"/>
      <c r="S236" s="3" t="n"/>
      <c r="T236" s="3" t="n"/>
      <c r="U236" s="3" t="n"/>
      <c r="V236" s="3" t="n"/>
      <c r="W236" s="3" t="n"/>
      <c r="X236" s="2">
        <f>IF(COUNTA(O236:Q236)&lt;3,"",IF(AND(O236=P236,P236=Q236),O236,IF(O236=P236,O236,IF(O236=Q236,O236,IF(P236=Q236,P236,"판정 불능")))))</f>
        <v/>
      </c>
      <c r="Y236" s="2">
        <f>IF(COUNTA(O236:Q236)&lt;3,"",IF(AND(O236=P236,P236=Q236),"3/3",IF(OR(O236=P236,O236=Q236,P236=Q236),"2/3","0/3")))</f>
        <v/>
      </c>
    </row>
    <row r="237">
      <c r="A237" s="2" t="n">
        <v>236</v>
      </c>
      <c r="B237" s="2" t="inlineStr">
        <is>
          <t>W4416036063</t>
        </is>
      </c>
      <c r="C237" s="2" t="inlineStr">
        <is>
          <t>sudoLLM: On Multi-role Alignment of Language Models</t>
        </is>
      </c>
      <c r="D237" s="2" t="inlineStr">
        <is>
          <t>accuracy</t>
        </is>
      </c>
      <c r="E237" s="2" t="n">
        <v>89.2</v>
      </c>
      <c r="F237" s="2" t="inlineStr">
        <is>
          <t>B</t>
        </is>
      </c>
      <c r="G237" s="2" t="n">
        <v>93.595</v>
      </c>
      <c r="H237" s="2" t="n">
        <v>92.21299999999999</v>
      </c>
      <c r="I237" s="2" t="n">
        <v>94.97799999999999</v>
      </c>
      <c r="J237" s="2" t="inlineStr">
        <is>
          <t>1374</t>
        </is>
      </c>
      <c r="K237" s="2" t="inlineStr">
        <is>
          <t>0</t>
        </is>
      </c>
      <c r="L237" s="2" t="inlineStr">
        <is>
          <t>예</t>
        </is>
      </c>
      <c r="M237" s="2" t="inlineStr">
        <is>
          <t>근접</t>
        </is>
      </c>
      <c r="N237" s="2" t="inlineStr"/>
      <c r="O237" s="3" t="n"/>
      <c r="P237" s="3" t="n"/>
      <c r="Q237" s="3" t="n"/>
      <c r="R237" s="3" t="n"/>
      <c r="S237" s="3" t="n"/>
      <c r="T237" s="3" t="n"/>
      <c r="U237" s="3" t="n"/>
      <c r="V237" s="3" t="n"/>
      <c r="W237" s="3" t="n"/>
      <c r="X237" s="2">
        <f>IF(COUNTA(O237:Q237)&lt;3,"",IF(AND(O237=P237,P237=Q237),O237,IF(O237=P237,O237,IF(O237=Q237,O237,IF(P237=Q237,P237,"판정 불능")))))</f>
        <v/>
      </c>
      <c r="Y237" s="2">
        <f>IF(COUNTA(O237:Q237)&lt;3,"",IF(AND(O237=P237,P237=Q237),"3/3",IF(OR(O237=P237,O237=Q237,P237=Q237),"2/3","0/3")))</f>
        <v/>
      </c>
    </row>
    <row r="238">
      <c r="A238" s="2" t="n">
        <v>237</v>
      </c>
      <c r="B238" s="2" t="inlineStr">
        <is>
          <t>W4416036063</t>
        </is>
      </c>
      <c r="C238" s="2" t="inlineStr">
        <is>
          <t>sudoLLM: On Multi-role Alignment of Language Models</t>
        </is>
      </c>
      <c r="D238" s="2" t="inlineStr">
        <is>
          <t>accuracy</t>
        </is>
      </c>
      <c r="E238" s="2" t="n">
        <v>89.2</v>
      </c>
      <c r="F238" s="2" t="inlineStr">
        <is>
          <t>C</t>
        </is>
      </c>
      <c r="G238" s="2" t="n">
        <v>93.63800000000001</v>
      </c>
      <c r="H238" s="2" t="n">
        <v>92.242</v>
      </c>
      <c r="I238" s="2" t="n">
        <v>94.95699999999999</v>
      </c>
      <c r="J238" s="2" t="inlineStr">
        <is>
          <t>1289</t>
        </is>
      </c>
      <c r="K238" s="2" t="inlineStr">
        <is>
          <t>0</t>
        </is>
      </c>
      <c r="L238" s="2" t="inlineStr">
        <is>
          <t>예</t>
        </is>
      </c>
      <c r="M238" s="2" t="inlineStr">
        <is>
          <t>근접</t>
        </is>
      </c>
      <c r="N238" s="2" t="inlineStr"/>
      <c r="O238" s="3" t="n"/>
      <c r="P238" s="3" t="n"/>
      <c r="Q238" s="3" t="n"/>
      <c r="R238" s="3" t="n"/>
      <c r="S238" s="3" t="n"/>
      <c r="T238" s="3" t="n"/>
      <c r="U238" s="3" t="n"/>
      <c r="V238" s="3" t="n"/>
      <c r="W238" s="3" t="n"/>
      <c r="X238" s="2">
        <f>IF(COUNTA(O238:Q238)&lt;3,"",IF(AND(O238=P238,P238=Q238),O238,IF(O238=P238,O238,IF(O238=Q238,O238,IF(P238=Q238,P238,"판정 불능")))))</f>
        <v/>
      </c>
      <c r="Y238" s="2">
        <f>IF(COUNTA(O238:Q238)&lt;3,"",IF(AND(O238=P238,P238=Q238),"3/3",IF(OR(O238=P238,O238=Q238,P238=Q238),"2/3","0/3")))</f>
        <v/>
      </c>
    </row>
    <row r="239">
      <c r="A239" s="2" t="n">
        <v>238</v>
      </c>
      <c r="B239" s="2" t="inlineStr">
        <is>
          <t>W4416036063</t>
        </is>
      </c>
      <c r="C239" s="2" t="inlineStr">
        <is>
          <t>sudoLLM: On Multi-role Alignment of Language Models</t>
        </is>
      </c>
      <c r="D239" s="2" t="inlineStr">
        <is>
          <t>accuracy</t>
        </is>
      </c>
      <c r="E239" s="2" t="n">
        <v>89.2</v>
      </c>
      <c r="F239" s="2" t="inlineStr">
        <is>
          <t>D</t>
        </is>
      </c>
      <c r="G239" s="2" t="n">
        <v>81.667</v>
      </c>
      <c r="H239" s="2" t="n">
        <v>79.667</v>
      </c>
      <c r="I239" s="2" t="n">
        <v>83.467</v>
      </c>
      <c r="J239" s="2" t="inlineStr">
        <is>
          <t>1500</t>
        </is>
      </c>
      <c r="K239" s="2" t="inlineStr">
        <is>
          <t>1</t>
        </is>
      </c>
      <c r="L239" s="2" t="inlineStr"/>
      <c r="M239" s="2" t="inlineStr">
        <is>
          <t>편차</t>
        </is>
      </c>
      <c r="N239" s="2" t="inlineStr"/>
      <c r="O239" s="3" t="n"/>
      <c r="P239" s="3" t="n"/>
      <c r="Q239" s="3" t="n"/>
      <c r="R239" s="3" t="n"/>
      <c r="S239" s="3" t="n"/>
      <c r="T239" s="3" t="n"/>
      <c r="U239" s="3" t="n"/>
      <c r="V239" s="3" t="n"/>
      <c r="W239" s="3" t="n"/>
      <c r="X239" s="2">
        <f>IF(COUNTA(O239:Q239)&lt;3,"",IF(AND(O239=P239,P239=Q239),O239,IF(O239=P239,O239,IF(O239=Q239,O239,IF(P239=Q239,P239,"판정 불능")))))</f>
        <v/>
      </c>
      <c r="Y239" s="2">
        <f>IF(COUNTA(O239:Q239)&lt;3,"",IF(AND(O239=P239,P239=Q239),"3/3",IF(OR(O239=P239,O239=Q239,P239=Q239),"2/3","0/3")))</f>
        <v/>
      </c>
    </row>
    <row r="240">
      <c r="A240" s="2" t="n">
        <v>239</v>
      </c>
      <c r="B240" s="2" t="inlineStr">
        <is>
          <t>W4416036577</t>
        </is>
      </c>
      <c r="C240" s="2" t="inlineStr">
        <is>
          <t>Cross-domain Rumor Detection via Test-Time Adaptatio</t>
        </is>
      </c>
      <c r="D240" s="2" t="inlineStr">
        <is>
          <t>accuracy</t>
        </is>
      </c>
      <c r="E240" s="2" t="n">
        <v>0.643</v>
      </c>
      <c r="F240" s="2" t="inlineStr">
        <is>
          <t>A</t>
        </is>
      </c>
      <c r="G240" s="2" t="n">
        <v>0.5225</v>
      </c>
      <c r="H240" s="2" t="n">
        <v>0.4775</v>
      </c>
      <c r="I240" s="2" t="n">
        <v>0.575</v>
      </c>
      <c r="J240" s="2" t="n">
        <v>400</v>
      </c>
      <c r="K240" s="2" t="n">
        <v>0</v>
      </c>
      <c r="L240" s="2" t="inlineStr"/>
      <c r="M240" s="2" t="inlineStr">
        <is>
          <t>편차</t>
        </is>
      </c>
      <c r="N240" s="2" t="inlineStr"/>
      <c r="O240" s="3" t="n"/>
      <c r="P240" s="3" t="n"/>
      <c r="Q240" s="3" t="n"/>
      <c r="R240" s="3" t="n"/>
      <c r="S240" s="3" t="n"/>
      <c r="T240" s="3" t="n"/>
      <c r="U240" s="3" t="n"/>
      <c r="V240" s="3" t="n"/>
      <c r="W240" s="3" t="n"/>
      <c r="X240" s="2">
        <f>IF(COUNTA(O240:Q240)&lt;3,"",IF(AND(O240=P240,P240=Q240),O240,IF(O240=P240,O240,IF(O240=Q240,O240,IF(P240=Q240,P240,"판정 불능")))))</f>
        <v/>
      </c>
      <c r="Y240" s="2">
        <f>IF(COUNTA(O240:Q240)&lt;3,"",IF(AND(O240=P240,P240=Q240),"3/3",IF(OR(O240=P240,O240=Q240,P240=Q240),"2/3","0/3")))</f>
        <v/>
      </c>
    </row>
    <row r="241">
      <c r="A241" s="2" t="n">
        <v>240</v>
      </c>
      <c r="B241" s="2" t="inlineStr">
        <is>
          <t>W4416036577</t>
        </is>
      </c>
      <c r="C241" s="2" t="inlineStr">
        <is>
          <t>Cross-domain Rumor Detection via Test-Time Adaptatio</t>
        </is>
      </c>
      <c r="D241" s="2" t="inlineStr">
        <is>
          <t>accuracy</t>
        </is>
      </c>
      <c r="E241" s="2" t="n">
        <v>0.643</v>
      </c>
      <c r="F241" s="2" t="inlineStr">
        <is>
          <t>B</t>
        </is>
      </c>
      <c r="G241" s="2" t="n">
        <v>0.487</v>
      </c>
      <c r="H241" s="2" t="n">
        <v>0.438</v>
      </c>
      <c r="I241" s="2" t="n">
        <v>0.537</v>
      </c>
      <c r="J241" s="2" t="inlineStr">
        <is>
          <t>400</t>
        </is>
      </c>
      <c r="K241" s="2" t="inlineStr">
        <is>
          <t>0</t>
        </is>
      </c>
      <c r="L241" s="2" t="inlineStr"/>
      <c r="M241" s="2" t="inlineStr">
        <is>
          <t>편차</t>
        </is>
      </c>
      <c r="N241" s="2" t="inlineStr"/>
      <c r="O241" s="3" t="n"/>
      <c r="P241" s="3" t="n"/>
      <c r="Q241" s="3" t="n"/>
      <c r="R241" s="3" t="n"/>
      <c r="S241" s="3" t="n"/>
      <c r="T241" s="3" t="n"/>
      <c r="U241" s="3" t="n"/>
      <c r="V241" s="3" t="n"/>
      <c r="W241" s="3" t="n"/>
      <c r="X241" s="2">
        <f>IF(COUNTA(O241:Q241)&lt;3,"",IF(AND(O241=P241,P241=Q241),O241,IF(O241=P241,O241,IF(O241=Q241,O241,IF(P241=Q241,P241,"판정 불능")))))</f>
        <v/>
      </c>
      <c r="Y241" s="2">
        <f>IF(COUNTA(O241:Q241)&lt;3,"",IF(AND(O241=P241,P241=Q241),"3/3",IF(OR(O241=P241,O241=Q241,P241=Q241),"2/3","0/3")))</f>
        <v/>
      </c>
    </row>
    <row r="242">
      <c r="A242" s="2" t="n">
        <v>241</v>
      </c>
      <c r="B242" s="2" t="inlineStr">
        <is>
          <t>W4416036577</t>
        </is>
      </c>
      <c r="C242" s="2" t="inlineStr">
        <is>
          <t>Cross-domain Rumor Detection via Test-Time Adaptatio</t>
        </is>
      </c>
      <c r="D242" s="2" t="inlineStr">
        <is>
          <t>accuracy</t>
        </is>
      </c>
      <c r="E242" s="2" t="n">
        <v>0.643</v>
      </c>
      <c r="F242" s="2" t="inlineStr">
        <is>
          <t>C</t>
        </is>
      </c>
      <c r="G242" s="2" t="n">
        <v>0.5570000000000001</v>
      </c>
      <c r="H242" s="2" t="n">
        <v>0.51</v>
      </c>
      <c r="I242" s="2" t="n">
        <v>0.605</v>
      </c>
      <c r="J242" s="2" t="inlineStr">
        <is>
          <t>400</t>
        </is>
      </c>
      <c r="K242" s="2" t="inlineStr">
        <is>
          <t>1</t>
        </is>
      </c>
      <c r="L242" s="2" t="inlineStr"/>
      <c r="M242" s="2" t="inlineStr">
        <is>
          <t>편차</t>
        </is>
      </c>
      <c r="N242" s="2" t="inlineStr"/>
      <c r="O242" s="3" t="n"/>
      <c r="P242" s="3" t="n"/>
      <c r="Q242" s="3" t="n"/>
      <c r="R242" s="3" t="n"/>
      <c r="S242" s="3" t="n"/>
      <c r="T242" s="3" t="n"/>
      <c r="U242" s="3" t="n"/>
      <c r="V242" s="3" t="n"/>
      <c r="W242" s="3" t="n"/>
      <c r="X242" s="2">
        <f>IF(COUNTA(O242:Q242)&lt;3,"",IF(AND(O242=P242,P242=Q242),O242,IF(O242=P242,O242,IF(O242=Q242,O242,IF(P242=Q242,P242,"판정 불능")))))</f>
        <v/>
      </c>
      <c r="Y242" s="2">
        <f>IF(COUNTA(O242:Q242)&lt;3,"",IF(AND(O242=P242,P242=Q242),"3/3",IF(OR(O242=P242,O242=Q242,P242=Q242),"2/3","0/3")))</f>
        <v/>
      </c>
    </row>
    <row r="243">
      <c r="A243" s="2" t="n">
        <v>242</v>
      </c>
      <c r="B243" s="2" t="inlineStr">
        <is>
          <t>W4416036577</t>
        </is>
      </c>
      <c r="C243" s="2" t="inlineStr">
        <is>
          <t>Cross-domain Rumor Detection via Test-Time Adaptatio</t>
        </is>
      </c>
      <c r="D243" s="2" t="inlineStr">
        <is>
          <t>accuracy</t>
        </is>
      </c>
      <c r="E243" s="2" t="n">
        <v>0.643</v>
      </c>
      <c r="F243" s="2" t="inlineStr">
        <is>
          <t>D</t>
        </is>
      </c>
      <c r="G243" s="2" t="n">
        <v>0.51</v>
      </c>
      <c r="H243" s="2" t="n">
        <v>0.463</v>
      </c>
      <c r="I243" s="2" t="n">
        <v>0.5580000000000001</v>
      </c>
      <c r="J243" s="2" t="inlineStr">
        <is>
          <t>400</t>
        </is>
      </c>
      <c r="K243" s="2" t="inlineStr">
        <is>
          <t>0</t>
        </is>
      </c>
      <c r="L243" s="2" t="inlineStr"/>
      <c r="M243" s="2" t="inlineStr">
        <is>
          <t>편차</t>
        </is>
      </c>
      <c r="N243" s="2" t="inlineStr"/>
      <c r="O243" s="3" t="n"/>
      <c r="P243" s="3" t="n"/>
      <c r="Q243" s="3" t="n"/>
      <c r="R243" s="3" t="n"/>
      <c r="S243" s="3" t="n"/>
      <c r="T243" s="3" t="n"/>
      <c r="U243" s="3" t="n"/>
      <c r="V243" s="3" t="n"/>
      <c r="W243" s="3" t="n"/>
      <c r="X243" s="2">
        <f>IF(COUNTA(O243:Q243)&lt;3,"",IF(AND(O243=P243,P243=Q243),O243,IF(O243=P243,O243,IF(O243=Q243,O243,IF(P243=Q243,P243,"판정 불능")))))</f>
        <v/>
      </c>
      <c r="Y243" s="2">
        <f>IF(COUNTA(O243:Q243)&lt;3,"",IF(AND(O243=P243,P243=Q243),"3/3",IF(OR(O243=P243,O243=Q243,P243=Q243),"2/3","0/3")))</f>
        <v/>
      </c>
    </row>
    <row r="244">
      <c r="A244" s="2" t="n">
        <v>243</v>
      </c>
      <c r="B244" s="2" t="inlineStr">
        <is>
          <t>W4416036577</t>
        </is>
      </c>
      <c r="C244" s="2" t="inlineStr">
        <is>
          <t>Cross-domain Rumor Detection via Test-Time Adaptatio</t>
        </is>
      </c>
      <c r="D244" s="2" t="inlineStr">
        <is>
          <t>accuracy</t>
        </is>
      </c>
      <c r="E244" s="2" t="n">
        <v>0.643</v>
      </c>
      <c r="F244" s="2" t="inlineStr">
        <is>
          <t>E</t>
        </is>
      </c>
      <c r="G244" s="2" t="n">
        <v>0.453</v>
      </c>
      <c r="H244" s="2" t="n">
        <v>0.4</v>
      </c>
      <c r="I244" s="2" t="n">
        <v>0.502</v>
      </c>
      <c r="J244" s="2" t="inlineStr">
        <is>
          <t>400</t>
        </is>
      </c>
      <c r="K244" s="2" t="inlineStr">
        <is>
          <t>0</t>
        </is>
      </c>
      <c r="L244" s="2" t="inlineStr"/>
      <c r="M244" s="2" t="inlineStr">
        <is>
          <t>편차</t>
        </is>
      </c>
      <c r="N244" s="2" t="inlineStr"/>
      <c r="O244" s="3" t="n"/>
      <c r="P244" s="3" t="n"/>
      <c r="Q244" s="3" t="n"/>
      <c r="R244" s="3" t="n"/>
      <c r="S244" s="3" t="n"/>
      <c r="T244" s="3" t="n"/>
      <c r="U244" s="3" t="n"/>
      <c r="V244" s="3" t="n"/>
      <c r="W244" s="3" t="n"/>
      <c r="X244" s="2">
        <f>IF(COUNTA(O244:Q244)&lt;3,"",IF(AND(O244=P244,P244=Q244),O244,IF(O244=P244,O244,IF(O244=Q244,O244,IF(P244=Q244,P244,"판정 불능")))))</f>
        <v/>
      </c>
      <c r="Y244" s="2">
        <f>IF(COUNTA(O244:Q244)&lt;3,"",IF(AND(O244=P244,P244=Q244),"3/3",IF(OR(O244=P244,O244=Q244,P244=Q244),"2/3","0/3")))</f>
        <v/>
      </c>
    </row>
    <row r="245">
      <c r="A245" s="2" t="n">
        <v>244</v>
      </c>
      <c r="B245" s="2" t="inlineStr">
        <is>
          <t>W4416037849</t>
        </is>
      </c>
      <c r="C245" s="2" t="inlineStr">
        <is>
          <t>CRAB: A Benchmark for Evaluating Curation of Retriev</t>
        </is>
      </c>
      <c r="D245" s="2" t="inlineStr">
        <is>
          <t>custom</t>
        </is>
      </c>
      <c r="E245" s="2" t="n">
        <v>71.22</v>
      </c>
      <c r="F245" s="2" t="inlineStr">
        <is>
          <t>A</t>
        </is>
      </c>
      <c r="G245" s="2" t="n">
        <v>69.90508594278747</v>
      </c>
      <c r="H245" s="2" t="n">
        <v>68.0451063920198</v>
      </c>
      <c r="I245" s="2" t="n">
        <v>72.03519255841165</v>
      </c>
      <c r="J245" s="2" t="n">
        <v>389</v>
      </c>
      <c r="K245" s="2" t="n">
        <v>0</v>
      </c>
      <c r="L245" s="2" t="inlineStr"/>
      <c r="M245" s="2" t="inlineStr">
        <is>
          <t>재현</t>
        </is>
      </c>
      <c r="N245" s="2" t="inlineStr"/>
      <c r="O245" s="3" t="n"/>
      <c r="P245" s="3" t="n"/>
      <c r="Q245" s="3" t="n"/>
      <c r="R245" s="3" t="n"/>
      <c r="S245" s="3" t="n"/>
      <c r="T245" s="3" t="n"/>
      <c r="U245" s="3" t="n"/>
      <c r="V245" s="3" t="n"/>
      <c r="W245" s="3" t="n"/>
      <c r="X245" s="2">
        <f>IF(COUNTA(O245:Q245)&lt;3,"",IF(AND(O245=P245,P245=Q245),O245,IF(O245=P245,O245,IF(O245=Q245,O245,IF(P245=Q245,P245,"판정 불능")))))</f>
        <v/>
      </c>
      <c r="Y245" s="2">
        <f>IF(COUNTA(O245:Q245)&lt;3,"",IF(AND(O245=P245,P245=Q245),"3/3",IF(OR(O245=P245,O245=Q245,P245=Q245),"2/3","0/3")))</f>
        <v/>
      </c>
    </row>
    <row r="246">
      <c r="A246" s="2" t="n">
        <v>245</v>
      </c>
      <c r="B246" s="2" t="inlineStr">
        <is>
          <t>W4416037849</t>
        </is>
      </c>
      <c r="C246" s="2" t="inlineStr">
        <is>
          <t>CRAB: A Benchmark for Evaluating Curation of Retriev</t>
        </is>
      </c>
      <c r="D246" s="2" t="inlineStr">
        <is>
          <t>custom</t>
        </is>
      </c>
      <c r="E246" s="2" t="n">
        <v>71.22</v>
      </c>
      <c r="F246" s="2" t="inlineStr">
        <is>
          <t>B</t>
        </is>
      </c>
      <c r="G246" s="2" t="n">
        <v>69.39700000000001</v>
      </c>
      <c r="H246" s="2" t="n">
        <v>67.514</v>
      </c>
      <c r="I246" s="2" t="n">
        <v>71.355</v>
      </c>
      <c r="J246" s="2" t="inlineStr">
        <is>
          <t>389</t>
        </is>
      </c>
      <c r="K246" s="2" t="inlineStr">
        <is>
          <t>0</t>
        </is>
      </c>
      <c r="L246" s="2" t="inlineStr"/>
      <c r="M246" s="2" t="inlineStr">
        <is>
          <t>재현</t>
        </is>
      </c>
      <c r="N246" s="2" t="inlineStr"/>
      <c r="O246" s="3" t="n"/>
      <c r="P246" s="3" t="n"/>
      <c r="Q246" s="3" t="n"/>
      <c r="R246" s="3" t="n"/>
      <c r="S246" s="3" t="n"/>
      <c r="T246" s="3" t="n"/>
      <c r="U246" s="3" t="n"/>
      <c r="V246" s="3" t="n"/>
      <c r="W246" s="3" t="n"/>
      <c r="X246" s="2">
        <f>IF(COUNTA(O246:Q246)&lt;3,"",IF(AND(O246=P246,P246=Q246),O246,IF(O246=P246,O246,IF(O246=Q246,O246,IF(P246=Q246,P246,"판정 불능")))))</f>
        <v/>
      </c>
      <c r="Y246" s="2">
        <f>IF(COUNTA(O246:Q246)&lt;3,"",IF(AND(O246=P246,P246=Q246),"3/3",IF(OR(O246=P246,O246=Q246,P246=Q246),"2/3","0/3")))</f>
        <v/>
      </c>
    </row>
    <row r="247">
      <c r="A247" s="2" t="n">
        <v>246</v>
      </c>
      <c r="B247" s="2" t="inlineStr">
        <is>
          <t>W4416037849</t>
        </is>
      </c>
      <c r="C247" s="2" t="inlineStr">
        <is>
          <t>CRAB: A Benchmark for Evaluating Curation of Retriev</t>
        </is>
      </c>
      <c r="D247" s="2" t="inlineStr">
        <is>
          <t>custom</t>
        </is>
      </c>
      <c r="E247" s="2" t="n">
        <v>71.22</v>
      </c>
      <c r="F247" s="2" t="inlineStr">
        <is>
          <t>C</t>
        </is>
      </c>
      <c r="G247" s="2" t="n">
        <v>70.89700000000001</v>
      </c>
      <c r="H247" s="2" t="n">
        <v>68.84</v>
      </c>
      <c r="I247" s="2" t="n">
        <v>73.092</v>
      </c>
      <c r="J247" s="2" t="inlineStr">
        <is>
          <t>389</t>
        </is>
      </c>
      <c r="K247" s="2" t="inlineStr">
        <is>
          <t>0</t>
        </is>
      </c>
      <c r="L247" s="2" t="inlineStr"/>
      <c r="M247" s="2" t="inlineStr">
        <is>
          <t>재현</t>
        </is>
      </c>
      <c r="N247" s="2" t="inlineStr"/>
      <c r="O247" s="3" t="n"/>
      <c r="P247" s="3" t="n"/>
      <c r="Q247" s="3" t="n"/>
      <c r="R247" s="3" t="n"/>
      <c r="S247" s="3" t="n"/>
      <c r="T247" s="3" t="n"/>
      <c r="U247" s="3" t="n"/>
      <c r="V247" s="3" t="n"/>
      <c r="W247" s="3" t="n"/>
      <c r="X247" s="2">
        <f>IF(COUNTA(O247:Q247)&lt;3,"",IF(AND(O247=P247,P247=Q247),O247,IF(O247=P247,O247,IF(O247=Q247,O247,IF(P247=Q247,P247,"판정 불능")))))</f>
        <v/>
      </c>
      <c r="Y247" s="2">
        <f>IF(COUNTA(O247:Q247)&lt;3,"",IF(AND(O247=P247,P247=Q247),"3/3",IF(OR(O247=P247,O247=Q247,P247=Q247),"2/3","0/3")))</f>
        <v/>
      </c>
    </row>
    <row r="248">
      <c r="A248" s="2" t="n">
        <v>247</v>
      </c>
      <c r="B248" s="2" t="inlineStr">
        <is>
          <t>W4416037849</t>
        </is>
      </c>
      <c r="C248" s="2" t="inlineStr">
        <is>
          <t>CRAB: A Benchmark for Evaluating Curation of Retriev</t>
        </is>
      </c>
      <c r="D248" s="2" t="inlineStr">
        <is>
          <t>custom</t>
        </is>
      </c>
      <c r="E248" s="2" t="n">
        <v>71.22</v>
      </c>
      <c r="F248" s="2" t="inlineStr">
        <is>
          <t>D</t>
        </is>
      </c>
      <c r="G248" s="2" t="n">
        <v>67.005</v>
      </c>
      <c r="H248" s="2" t="n">
        <v>65.431</v>
      </c>
      <c r="I248" s="2" t="n">
        <v>68.723</v>
      </c>
      <c r="J248" s="2" t="inlineStr">
        <is>
          <t>389</t>
        </is>
      </c>
      <c r="K248" s="2" t="inlineStr">
        <is>
          <t>0</t>
        </is>
      </c>
      <c r="L248" s="2" t="inlineStr"/>
      <c r="M248" s="2" t="inlineStr">
        <is>
          <t>근접</t>
        </is>
      </c>
      <c r="N248" s="2" t="inlineStr"/>
      <c r="O248" s="3" t="n"/>
      <c r="P248" s="3" t="n"/>
      <c r="Q248" s="3" t="n"/>
      <c r="R248" s="3" t="n"/>
      <c r="S248" s="3" t="n"/>
      <c r="T248" s="3" t="n"/>
      <c r="U248" s="3" t="n"/>
      <c r="V248" s="3" t="n"/>
      <c r="W248" s="3" t="n"/>
      <c r="X248" s="2">
        <f>IF(COUNTA(O248:Q248)&lt;3,"",IF(AND(O248=P248,P248=Q248),O248,IF(O248=P248,O248,IF(O248=Q248,O248,IF(P248=Q248,P248,"판정 불능")))))</f>
        <v/>
      </c>
      <c r="Y248" s="2">
        <f>IF(COUNTA(O248:Q248)&lt;3,"",IF(AND(O248=P248,P248=Q248),"3/3",IF(OR(O248=P248,O248=Q248,P248=Q248),"2/3","0/3")))</f>
        <v/>
      </c>
    </row>
    <row r="249">
      <c r="A249" s="2" t="n">
        <v>248</v>
      </c>
      <c r="B249" s="2" t="inlineStr">
        <is>
          <t>W4416339332</t>
        </is>
      </c>
      <c r="C249" s="2" t="inlineStr">
        <is>
          <t>"As Eastern Powers, I will veto." : An Investigation</t>
        </is>
      </c>
      <c r="D249" s="2" t="inlineStr">
        <is>
          <t>custom</t>
        </is>
      </c>
      <c r="E249" s="2" t="n">
        <v>65</v>
      </c>
      <c r="F249" s="2" t="inlineStr">
        <is>
          <t>A</t>
        </is>
      </c>
      <c r="G249" s="2" t="n">
        <v>93.721</v>
      </c>
      <c r="H249" s="2" t="n">
        <v>87.04900000000001</v>
      </c>
      <c r="I249" s="2" t="n">
        <v>100</v>
      </c>
      <c r="J249" s="2" t="inlineStr">
        <is>
          <t>66</t>
        </is>
      </c>
      <c r="K249" s="2" t="inlineStr">
        <is>
          <t>0</t>
        </is>
      </c>
      <c r="L249" s="2" t="inlineStr"/>
      <c r="M249" s="2" t="inlineStr">
        <is>
          <t>편차</t>
        </is>
      </c>
      <c r="N249" s="2" t="inlineStr"/>
      <c r="O249" s="3" t="n"/>
      <c r="P249" s="3" t="n"/>
      <c r="Q249" s="3" t="n"/>
      <c r="R249" s="3" t="n"/>
      <c r="S249" s="3" t="n"/>
      <c r="T249" s="3" t="n"/>
      <c r="U249" s="3" t="n"/>
      <c r="V249" s="3" t="n"/>
      <c r="W249" s="3" t="n"/>
      <c r="X249" s="2">
        <f>IF(COUNTA(O249:Q249)&lt;3,"",IF(AND(O249=P249,P249=Q249),O249,IF(O249=P249,O249,IF(O249=Q249,O249,IF(P249=Q249,P249,"판정 불능")))))</f>
        <v/>
      </c>
      <c r="Y249" s="2">
        <f>IF(COUNTA(O249:Q249)&lt;3,"",IF(AND(O249=P249,P249=Q249),"3/3",IF(OR(O249=P249,O249=Q249,P249=Q249),"2/3","0/3")))</f>
        <v/>
      </c>
    </row>
    <row r="250">
      <c r="A250" s="2" t="n">
        <v>249</v>
      </c>
      <c r="B250" s="2" t="inlineStr">
        <is>
          <t>W4416339332</t>
        </is>
      </c>
      <c r="C250" s="2" t="inlineStr">
        <is>
          <t>"As Eastern Powers, I will veto." : An Investigation</t>
        </is>
      </c>
      <c r="D250" s="2" t="inlineStr">
        <is>
          <t>custom</t>
        </is>
      </c>
      <c r="E250" s="2" t="n">
        <v>65</v>
      </c>
      <c r="F250" s="2" t="inlineStr">
        <is>
          <t>B</t>
        </is>
      </c>
      <c r="G250" s="2" t="n">
        <v>93.80800000000001</v>
      </c>
      <c r="H250" s="2" t="n">
        <v>87.42400000000001</v>
      </c>
      <c r="I250" s="2" t="n">
        <v>98.504</v>
      </c>
      <c r="J250" s="2" t="inlineStr">
        <is>
          <t>66</t>
        </is>
      </c>
      <c r="K250" s="2" t="inlineStr">
        <is>
          <t>0</t>
        </is>
      </c>
      <c r="L250" s="2" t="inlineStr"/>
      <c r="M250" s="2" t="inlineStr">
        <is>
          <t>편차</t>
        </is>
      </c>
      <c r="N250" s="2" t="inlineStr"/>
      <c r="O250" s="3" t="n"/>
      <c r="P250" s="3" t="n"/>
      <c r="Q250" s="3" t="n"/>
      <c r="R250" s="3" t="n"/>
      <c r="S250" s="3" t="n"/>
      <c r="T250" s="3" t="n"/>
      <c r="U250" s="3" t="n"/>
      <c r="V250" s="3" t="n"/>
      <c r="W250" s="3" t="n"/>
      <c r="X250" s="2">
        <f>IF(COUNTA(O250:Q250)&lt;3,"",IF(AND(O250=P250,P250=Q250),O250,IF(O250=P250,O250,IF(O250=Q250,O250,IF(P250=Q250,P250,"판정 불능")))))</f>
        <v/>
      </c>
      <c r="Y250" s="2">
        <f>IF(COUNTA(O250:Q250)&lt;3,"",IF(AND(O250=P250,P250=Q250),"3/3",IF(OR(O250=P250,O250=Q250,P250=Q250),"2/3","0/3")))</f>
        <v/>
      </c>
    </row>
    <row r="251">
      <c r="A251" s="2" t="n">
        <v>250</v>
      </c>
      <c r="B251" s="2" t="inlineStr">
        <is>
          <t>W4416339332</t>
        </is>
      </c>
      <c r="C251" s="2" t="inlineStr">
        <is>
          <t>"As Eastern Powers, I will veto." : An Investigation</t>
        </is>
      </c>
      <c r="D251" s="2" t="inlineStr">
        <is>
          <t>custom</t>
        </is>
      </c>
      <c r="E251" s="2" t="n">
        <v>65</v>
      </c>
      <c r="F251" s="2" t="inlineStr">
        <is>
          <t>C</t>
        </is>
      </c>
      <c r="G251" s="2" t="n">
        <v>66.32614716070489</v>
      </c>
      <c r="H251" s="2" t="n">
        <v>54.85422212219387</v>
      </c>
      <c r="I251" s="2" t="n">
        <v>78.95850917975781</v>
      </c>
      <c r="J251" s="2" t="n">
        <v>66</v>
      </c>
      <c r="K251" s="2" t="n">
        <v>2</v>
      </c>
      <c r="L251" s="2" t="inlineStr"/>
      <c r="M251" s="2" t="inlineStr">
        <is>
          <t>재현</t>
        </is>
      </c>
      <c r="N251" s="2" t="inlineStr">
        <is>
          <t>예</t>
        </is>
      </c>
      <c r="O251" s="3" t="n"/>
      <c r="P251" s="3" t="n"/>
      <c r="Q251" s="3" t="n"/>
      <c r="R251" s="3" t="n"/>
      <c r="S251" s="3" t="n"/>
      <c r="T251" s="3" t="n"/>
      <c r="U251" s="3" t="n"/>
      <c r="V251" s="3" t="n"/>
      <c r="W251" s="3" t="n"/>
      <c r="X251" s="2">
        <f>IF(COUNTA(O251:Q251)&lt;3,"",IF(AND(O251=P251,P251=Q251),O251,IF(O251=P251,O251,IF(O251=Q251,O251,IF(P251=Q251,P251,"판정 불능")))))</f>
        <v/>
      </c>
      <c r="Y251" s="2">
        <f>IF(COUNTA(O251:Q251)&lt;3,"",IF(AND(O251=P251,P251=Q251),"3/3",IF(OR(O251=P251,O251=Q251,P251=Q251),"2/3","0/3")))</f>
        <v/>
      </c>
    </row>
    <row r="252">
      <c r="A252" s="2" t="n">
        <v>251</v>
      </c>
      <c r="B252" s="2" t="inlineStr">
        <is>
          <t>W4416339332</t>
        </is>
      </c>
      <c r="C252" s="2" t="inlineStr">
        <is>
          <t>"As Eastern Powers, I will veto." : An Investigation</t>
        </is>
      </c>
      <c r="D252" s="2" t="inlineStr">
        <is>
          <t>custom</t>
        </is>
      </c>
      <c r="E252" s="2" t="n">
        <v>65</v>
      </c>
      <c r="F252" s="2" t="inlineStr">
        <is>
          <t>D</t>
        </is>
      </c>
      <c r="G252" s="2" t="n">
        <v>56.587</v>
      </c>
      <c r="H252" s="2" t="n">
        <v>42.675</v>
      </c>
      <c r="I252" s="2" t="n">
        <v>69.43000000000001</v>
      </c>
      <c r="J252" s="2" t="inlineStr">
        <is>
          <t>66</t>
        </is>
      </c>
      <c r="K252" s="2" t="inlineStr">
        <is>
          <t>0</t>
        </is>
      </c>
      <c r="L252" s="2" t="inlineStr"/>
      <c r="M252" s="2" t="inlineStr">
        <is>
          <t>재현</t>
        </is>
      </c>
      <c r="N252" s="2" t="inlineStr"/>
      <c r="O252" s="3" t="n"/>
      <c r="P252" s="3" t="n"/>
      <c r="Q252" s="3" t="n"/>
      <c r="R252" s="3" t="n"/>
      <c r="S252" s="3" t="n"/>
      <c r="T252" s="3" t="n"/>
      <c r="U252" s="3" t="n"/>
      <c r="V252" s="3" t="n"/>
      <c r="W252" s="3" t="n"/>
      <c r="X252" s="2">
        <f>IF(COUNTA(O252:Q252)&lt;3,"",IF(AND(O252=P252,P252=Q252),O252,IF(O252=P252,O252,IF(O252=Q252,O252,IF(P252=Q252,P252,"판정 불능")))))</f>
        <v/>
      </c>
      <c r="Y252" s="2">
        <f>IF(COUNTA(O252:Q252)&lt;3,"",IF(AND(O252=P252,P252=Q252),"3/3",IF(OR(O252=P252,O252=Q252,P252=Q252),"2/3","0/3")))</f>
        <v/>
      </c>
    </row>
    <row r="253">
      <c r="A253" s="2" t="n">
        <v>252</v>
      </c>
      <c r="B253" s="2" t="inlineStr">
        <is>
          <t>W4416683695</t>
        </is>
      </c>
      <c r="C253" s="2" t="inlineStr">
        <is>
          <t>AI Self-preferencing in Algorithmic Hiring: Empirica</t>
        </is>
      </c>
      <c r="D253" s="2" t="inlineStr">
        <is>
          <t>custom</t>
        </is>
      </c>
      <c r="E253" s="2" t="n">
        <v>93</v>
      </c>
      <c r="F253" s="2" t="inlineStr">
        <is>
          <t>A</t>
        </is>
      </c>
      <c r="G253" s="2" t="n">
        <v>13.214</v>
      </c>
      <c r="H253" s="2" t="n">
        <v>5</v>
      </c>
      <c r="I253" s="2" t="n">
        <v>21.786</v>
      </c>
      <c r="J253" s="2" t="inlineStr">
        <is>
          <t>560</t>
        </is>
      </c>
      <c r="K253" s="2" t="inlineStr">
        <is>
          <t>0</t>
        </is>
      </c>
      <c r="L253" s="2" t="inlineStr">
        <is>
          <t>예</t>
        </is>
      </c>
      <c r="M253" s="2" t="inlineStr">
        <is>
          <t>편차</t>
        </is>
      </c>
      <c r="N253" s="2" t="inlineStr"/>
      <c r="O253" s="3" t="n"/>
      <c r="P253" s="3" t="n"/>
      <c r="Q253" s="3" t="n"/>
      <c r="R253" s="3" t="n"/>
      <c r="S253" s="3" t="n"/>
      <c r="T253" s="3" t="n"/>
      <c r="U253" s="3" t="n"/>
      <c r="V253" s="3" t="n"/>
      <c r="W253" s="3" t="n"/>
      <c r="X253" s="2">
        <f>IF(COUNTA(O253:Q253)&lt;3,"",IF(AND(O253=P253,P253=Q253),O253,IF(O253=P253,O253,IF(O253=Q253,O253,IF(P253=Q253,P253,"판정 불능")))))</f>
        <v/>
      </c>
      <c r="Y253" s="2">
        <f>IF(COUNTA(O253:Q253)&lt;3,"",IF(AND(O253=P253,P253=Q253),"3/3",IF(OR(O253=P253,O253=Q253,P253=Q253),"2/3","0/3")))</f>
        <v/>
      </c>
    </row>
    <row r="254">
      <c r="A254" s="2" t="n">
        <v>253</v>
      </c>
      <c r="B254" s="2" t="inlineStr">
        <is>
          <t>W4416683695</t>
        </is>
      </c>
      <c r="C254" s="2" t="inlineStr">
        <is>
          <t>AI Self-preferencing in Algorithmic Hiring: Empirica</t>
        </is>
      </c>
      <c r="D254" s="2" t="inlineStr">
        <is>
          <t>custom</t>
        </is>
      </c>
      <c r="E254" s="2" t="n">
        <v>93</v>
      </c>
      <c r="F254" s="2" t="inlineStr">
        <is>
          <t>B</t>
        </is>
      </c>
      <c r="G254" s="2" t="n">
        <v>14.78260869565217</v>
      </c>
      <c r="H254" s="2" t="n">
        <v>6.086956521739131</v>
      </c>
      <c r="I254" s="2" t="n">
        <v>23.47826086956522</v>
      </c>
      <c r="J254" s="2" t="n">
        <v>460</v>
      </c>
      <c r="K254" s="2" t="n">
        <v>0</v>
      </c>
      <c r="L254" s="2" t="inlineStr">
        <is>
          <t>예</t>
        </is>
      </c>
      <c r="M254" s="2" t="inlineStr">
        <is>
          <t>편차</t>
        </is>
      </c>
      <c r="N254" s="2" t="inlineStr"/>
      <c r="O254" s="3" t="n"/>
      <c r="P254" s="3" t="n"/>
      <c r="Q254" s="3" t="n"/>
      <c r="R254" s="3" t="n"/>
      <c r="S254" s="3" t="n"/>
      <c r="T254" s="3" t="n"/>
      <c r="U254" s="3" t="n"/>
      <c r="V254" s="3" t="n"/>
      <c r="W254" s="3" t="n"/>
      <c r="X254" s="2">
        <f>IF(COUNTA(O254:Q254)&lt;3,"",IF(AND(O254=P254,P254=Q254),O254,IF(O254=P254,O254,IF(O254=Q254,O254,IF(P254=Q254,P254,"판정 불능")))))</f>
        <v/>
      </c>
      <c r="Y254" s="2">
        <f>IF(COUNTA(O254:Q254)&lt;3,"",IF(AND(O254=P254,P254=Q254),"3/3",IF(OR(O254=P254,O254=Q254,P254=Q254),"2/3","0/3")))</f>
        <v/>
      </c>
    </row>
    <row r="255">
      <c r="A255" s="2" t="n">
        <v>254</v>
      </c>
      <c r="B255" s="2" t="inlineStr">
        <is>
          <t>W4417257719</t>
        </is>
      </c>
      <c r="C255" s="2" t="inlineStr">
        <is>
          <t>EDINET-Bench: Evaluating LLMs on Complex Financial T</t>
        </is>
      </c>
      <c r="D255" s="2" t="inlineStr">
        <is>
          <t>custom</t>
        </is>
      </c>
      <c r="E255" s="2" t="n">
        <v>0.65</v>
      </c>
      <c r="F255" s="2" t="inlineStr">
        <is>
          <t>A</t>
        </is>
      </c>
      <c r="G255" s="2" t="n">
        <v>0.6812470211014342</v>
      </c>
      <c r="H255" s="2" t="n">
        <v>0.6317965921733821</v>
      </c>
      <c r="I255" s="2" t="n">
        <v>0.7276060297375112</v>
      </c>
      <c r="J255" s="2" t="n">
        <v>451</v>
      </c>
      <c r="K255" s="2" t="n">
        <v>1</v>
      </c>
      <c r="L255" s="2" t="inlineStr"/>
      <c r="M255" s="2" t="inlineStr">
        <is>
          <t>재현</t>
        </is>
      </c>
      <c r="N255" s="2" t="inlineStr"/>
      <c r="O255" s="3" t="n"/>
      <c r="P255" s="3" t="n"/>
      <c r="Q255" s="3" t="n"/>
      <c r="R255" s="3" t="n"/>
      <c r="S255" s="3" t="n"/>
      <c r="T255" s="3" t="n"/>
      <c r="U255" s="3" t="n"/>
      <c r="V255" s="3" t="n"/>
      <c r="W255" s="3" t="n"/>
      <c r="X255" s="2">
        <f>IF(COUNTA(O255:Q255)&lt;3,"",IF(AND(O255=P255,P255=Q255),O255,IF(O255=P255,O255,IF(O255=Q255,O255,IF(P255=Q255,P255,"판정 불능")))))</f>
        <v/>
      </c>
      <c r="Y255" s="2">
        <f>IF(COUNTA(O255:Q255)&lt;3,"",IF(AND(O255=P255,P255=Q255),"3/3",IF(OR(O255=P255,O255=Q255,P255=Q255),"2/3","0/3")))</f>
        <v/>
      </c>
    </row>
    <row r="256">
      <c r="A256" s="2" t="n">
        <v>255</v>
      </c>
      <c r="B256" s="2" t="inlineStr">
        <is>
          <t>W7106207151</t>
        </is>
      </c>
      <c r="C256" s="2" t="inlineStr">
        <is>
          <t>Syn-STARTS: Synthesized START Triage Scenario Genera</t>
        </is>
      </c>
      <c r="D256" s="2" t="inlineStr">
        <is>
          <t>accuracy</t>
        </is>
      </c>
      <c r="E256" s="2" t="n">
        <v>0.72</v>
      </c>
      <c r="F256" s="2" t="inlineStr">
        <is>
          <t>A</t>
        </is>
      </c>
      <c r="G256" s="2" t="n">
        <v>0.759</v>
      </c>
      <c r="H256" s="2" t="n">
        <v>0.63</v>
      </c>
      <c r="I256" s="2" t="n">
        <v>0.87</v>
      </c>
      <c r="J256" s="2" t="inlineStr">
        <is>
          <t>54</t>
        </is>
      </c>
      <c r="K256" s="2" t="inlineStr">
        <is>
          <t>0</t>
        </is>
      </c>
      <c r="L256" s="2" t="inlineStr"/>
      <c r="M256" s="2" t="inlineStr">
        <is>
          <t>재현</t>
        </is>
      </c>
      <c r="N256" s="2" t="inlineStr"/>
      <c r="O256" s="3" t="n"/>
      <c r="P256" s="3" t="n"/>
      <c r="Q256" s="3" t="n"/>
      <c r="R256" s="3" t="n"/>
      <c r="S256" s="3" t="n"/>
      <c r="T256" s="3" t="n"/>
      <c r="U256" s="3" t="n"/>
      <c r="V256" s="3" t="n"/>
      <c r="W256" s="3" t="n"/>
      <c r="X256" s="2">
        <f>IF(COUNTA(O256:Q256)&lt;3,"",IF(AND(O256=P256,P256=Q256),O256,IF(O256=P256,O256,IF(O256=Q256,O256,IF(P256=Q256,P256,"판정 불능")))))</f>
        <v/>
      </c>
      <c r="Y256" s="2">
        <f>IF(COUNTA(O256:Q256)&lt;3,"",IF(AND(O256=P256,P256=Q256),"3/3",IF(OR(O256=P256,O256=Q256,P256=Q256),"2/3","0/3")))</f>
        <v/>
      </c>
    </row>
    <row r="257">
      <c r="A257" s="2" t="n">
        <v>256</v>
      </c>
      <c r="B257" s="2" t="inlineStr">
        <is>
          <t>W7106207151</t>
        </is>
      </c>
      <c r="C257" s="2" t="inlineStr">
        <is>
          <t>Syn-STARTS: Synthesized START Triage Scenario Genera</t>
        </is>
      </c>
      <c r="D257" s="2" t="inlineStr">
        <is>
          <t>accuracy</t>
        </is>
      </c>
      <c r="E257" s="2" t="n">
        <v>0.72</v>
      </c>
      <c r="F257" s="2" t="inlineStr">
        <is>
          <t>B</t>
        </is>
      </c>
      <c r="G257" s="2" t="n">
        <v>0.7098765432098766</v>
      </c>
      <c r="H257" s="2" t="n">
        <v>0.5740740740740741</v>
      </c>
      <c r="I257" s="2" t="n">
        <v>0.8148148148148148</v>
      </c>
      <c r="J257" s="2" t="n">
        <v>54</v>
      </c>
      <c r="K257" s="2" t="n">
        <v>0</v>
      </c>
      <c r="L257" s="2" t="inlineStr"/>
      <c r="M257" s="2" t="inlineStr">
        <is>
          <t>재현</t>
        </is>
      </c>
      <c r="N257" s="2" t="inlineStr">
        <is>
          <t>예</t>
        </is>
      </c>
      <c r="O257" s="3" t="n"/>
      <c r="P257" s="3" t="n"/>
      <c r="Q257" s="3" t="n"/>
      <c r="R257" s="3" t="n"/>
      <c r="S257" s="3" t="n"/>
      <c r="T257" s="3" t="n"/>
      <c r="U257" s="3" t="n"/>
      <c r="V257" s="3" t="n"/>
      <c r="W257" s="3" t="n"/>
      <c r="X257" s="2">
        <f>IF(COUNTA(O257:Q257)&lt;3,"",IF(AND(O257=P257,P257=Q257),O257,IF(O257=P257,O257,IF(O257=Q257,O257,IF(P257=Q257,P257,"판정 불능")))))</f>
        <v/>
      </c>
      <c r="Y257" s="2">
        <f>IF(COUNTA(O257:Q257)&lt;3,"",IF(AND(O257=P257,P257=Q257),"3/3",IF(OR(O257=P257,O257=Q257,P257=Q257),"2/3","0/3")))</f>
        <v/>
      </c>
    </row>
    <row r="258">
      <c r="A258" s="2" t="n">
        <v>257</v>
      </c>
      <c r="B258" s="2" t="inlineStr">
        <is>
          <t>W7106207151</t>
        </is>
      </c>
      <c r="C258" s="2" t="inlineStr">
        <is>
          <t>Syn-STARTS: Synthesized START Triage Scenario Genera</t>
        </is>
      </c>
      <c r="D258" s="2" t="inlineStr">
        <is>
          <t>accuracy</t>
        </is>
      </c>
      <c r="E258" s="2" t="n">
        <v>0.72</v>
      </c>
      <c r="F258" s="2" t="inlineStr">
        <is>
          <t>C</t>
        </is>
      </c>
      <c r="G258" s="2" t="n">
        <v>0.759</v>
      </c>
      <c r="H258" s="2" t="n">
        <v>0.63</v>
      </c>
      <c r="I258" s="2" t="n">
        <v>0.87</v>
      </c>
      <c r="J258" s="2" t="inlineStr">
        <is>
          <t>54</t>
        </is>
      </c>
      <c r="K258" s="2" t="inlineStr">
        <is>
          <t>0</t>
        </is>
      </c>
      <c r="L258" s="2" t="inlineStr"/>
      <c r="M258" s="2" t="inlineStr">
        <is>
          <t>재현</t>
        </is>
      </c>
      <c r="N258" s="2" t="inlineStr"/>
      <c r="O258" s="3" t="n"/>
      <c r="P258" s="3" t="n"/>
      <c r="Q258" s="3" t="n"/>
      <c r="R258" s="3" t="n"/>
      <c r="S258" s="3" t="n"/>
      <c r="T258" s="3" t="n"/>
      <c r="U258" s="3" t="n"/>
      <c r="V258" s="3" t="n"/>
      <c r="W258" s="3" t="n"/>
      <c r="X258" s="2">
        <f>IF(COUNTA(O258:Q258)&lt;3,"",IF(AND(O258=P258,P258=Q258),O258,IF(O258=P258,O258,IF(O258=Q258,O258,IF(P258=Q258,P258,"판정 불능")))))</f>
        <v/>
      </c>
      <c r="Y258" s="2">
        <f>IF(COUNTA(O258:Q258)&lt;3,"",IF(AND(O258=P258,P258=Q258),"3/3",IF(OR(O258=P258,O258=Q258,P258=Q258),"2/3","0/3")))</f>
        <v/>
      </c>
    </row>
    <row r="259">
      <c r="A259" s="2" t="n">
        <v>258</v>
      </c>
      <c r="B259" s="2" t="inlineStr">
        <is>
          <t>W7106207151</t>
        </is>
      </c>
      <c r="C259" s="2" t="inlineStr">
        <is>
          <t>Syn-STARTS: Synthesized START Triage Scenario Genera</t>
        </is>
      </c>
      <c r="D259" s="2" t="inlineStr">
        <is>
          <t>accuracy</t>
        </is>
      </c>
      <c r="E259" s="2" t="n">
        <v>0.72</v>
      </c>
      <c r="F259" s="2" t="inlineStr">
        <is>
          <t>D</t>
        </is>
      </c>
      <c r="G259" s="2" t="n">
        <v>0.722</v>
      </c>
      <c r="H259" s="2" t="n">
        <v>0.593</v>
      </c>
      <c r="I259" s="2" t="n">
        <v>0.833</v>
      </c>
      <c r="J259" s="2" t="inlineStr">
        <is>
          <t>54</t>
        </is>
      </c>
      <c r="K259" s="2" t="inlineStr">
        <is>
          <t>0</t>
        </is>
      </c>
      <c r="L259" s="2" t="inlineStr"/>
      <c r="M259" s="2" t="inlineStr">
        <is>
          <t>재현</t>
        </is>
      </c>
      <c r="N259" s="2" t="inlineStr"/>
      <c r="O259" s="3" t="n"/>
      <c r="P259" s="3" t="n"/>
      <c r="Q259" s="3" t="n"/>
      <c r="R259" s="3" t="n"/>
      <c r="S259" s="3" t="n"/>
      <c r="T259" s="3" t="n"/>
      <c r="U259" s="3" t="n"/>
      <c r="V259" s="3" t="n"/>
      <c r="W259" s="3" t="n"/>
      <c r="X259" s="2">
        <f>IF(COUNTA(O259:Q259)&lt;3,"",IF(AND(O259=P259,P259=Q259),O259,IF(O259=P259,O259,IF(O259=Q259,O259,IF(P259=Q259,P259,"판정 불능")))))</f>
        <v/>
      </c>
      <c r="Y259" s="2">
        <f>IF(COUNTA(O259:Q259)&lt;3,"",IF(AND(O259=P259,P259=Q259),"3/3",IF(OR(O259=P259,O259=Q259,P259=Q259),"2/3","0/3")))</f>
        <v/>
      </c>
    </row>
    <row r="260">
      <c r="A260" s="2" t="n">
        <v>259</v>
      </c>
      <c r="B260" s="2" t="inlineStr">
        <is>
          <t>W7106207151</t>
        </is>
      </c>
      <c r="C260" s="2" t="inlineStr">
        <is>
          <t>Syn-STARTS: Synthesized START Triage Scenario Genera</t>
        </is>
      </c>
      <c r="D260" s="2" t="inlineStr">
        <is>
          <t>accuracy</t>
        </is>
      </c>
      <c r="E260" s="2" t="n">
        <v>0.72</v>
      </c>
      <c r="F260" s="2" t="inlineStr">
        <is>
          <t>E</t>
        </is>
      </c>
      <c r="G260" s="2" t="n">
        <v>0.741</v>
      </c>
      <c r="H260" s="2" t="n">
        <v>0.629</v>
      </c>
      <c r="I260" s="2" t="n">
        <v>0.852</v>
      </c>
      <c r="J260" s="2" t="inlineStr">
        <is>
          <t>54</t>
        </is>
      </c>
      <c r="K260" s="2" t="inlineStr">
        <is>
          <t>0</t>
        </is>
      </c>
      <c r="L260" s="2" t="inlineStr"/>
      <c r="M260" s="2" t="inlineStr">
        <is>
          <t>재현</t>
        </is>
      </c>
      <c r="N260" s="2" t="inlineStr"/>
      <c r="O260" s="3" t="n"/>
      <c r="P260" s="3" t="n"/>
      <c r="Q260" s="3" t="n"/>
      <c r="R260" s="3" t="n"/>
      <c r="S260" s="3" t="n"/>
      <c r="T260" s="3" t="n"/>
      <c r="U260" s="3" t="n"/>
      <c r="V260" s="3" t="n"/>
      <c r="W260" s="3" t="n"/>
      <c r="X260" s="2">
        <f>IF(COUNTA(O260:Q260)&lt;3,"",IF(AND(O260=P260,P260=Q260),O260,IF(O260=P260,O260,IF(O260=Q260,O260,IF(P260=Q260,P260,"판정 불능")))))</f>
        <v/>
      </c>
      <c r="Y260" s="2">
        <f>IF(COUNTA(O260:Q260)&lt;3,"",IF(AND(O260=P260,P260=Q260),"3/3",IF(OR(O260=P260,O260=Q260,P260=Q260),"2/3","0/3")))</f>
        <v/>
      </c>
    </row>
    <row r="261">
      <c r="A261" s="2" t="n">
        <v>260</v>
      </c>
      <c r="B261" s="2" t="inlineStr">
        <is>
          <t>W7117377764</t>
        </is>
      </c>
      <c r="C261" s="2" t="inlineStr">
        <is>
          <t>Benchmarking large language models for geolocating c</t>
        </is>
      </c>
      <c r="D261" s="2" t="inlineStr">
        <is>
          <t>custom</t>
        </is>
      </c>
      <c r="E261" s="2" t="n">
        <v>23.4</v>
      </c>
      <c r="F261" s="2" t="inlineStr">
        <is>
          <t>A</t>
        </is>
      </c>
      <c r="G261" s="2" t="n">
        <v>250.331</v>
      </c>
      <c r="H261" s="2" t="n">
        <v>40.563</v>
      </c>
      <c r="I261" s="2" t="n">
        <v>473.956</v>
      </c>
      <c r="J261" s="2" t="inlineStr">
        <is>
          <t>43</t>
        </is>
      </c>
      <c r="K261" s="2" t="inlineStr">
        <is>
          <t>11</t>
        </is>
      </c>
      <c r="L261" s="2" t="inlineStr"/>
      <c r="M261" s="2" t="inlineStr">
        <is>
          <t>편차</t>
        </is>
      </c>
      <c r="N261" s="2" t="inlineStr"/>
      <c r="O261" s="3" t="n"/>
      <c r="P261" s="3" t="n"/>
      <c r="Q261" s="3" t="n"/>
      <c r="R261" s="3" t="n"/>
      <c r="S261" s="3" t="n"/>
      <c r="T261" s="3" t="n"/>
      <c r="U261" s="3" t="n"/>
      <c r="V261" s="3" t="n"/>
      <c r="W261" s="3" t="n"/>
      <c r="X261" s="2">
        <f>IF(COUNTA(O261:Q261)&lt;3,"",IF(AND(O261=P261,P261=Q261),O261,IF(O261=P261,O261,IF(O261=Q261,O261,IF(P261=Q261,P261,"판정 불능")))))</f>
        <v/>
      </c>
      <c r="Y261" s="2">
        <f>IF(COUNTA(O261:Q261)&lt;3,"",IF(AND(O261=P261,P261=Q261),"3/3",IF(OR(O261=P261,O261=Q261,P261=Q261),"2/3","0/3")))</f>
        <v/>
      </c>
    </row>
    <row r="262">
      <c r="A262" s="2" t="n">
        <v>261</v>
      </c>
      <c r="B262" s="2" t="inlineStr">
        <is>
          <t>W7117377764</t>
        </is>
      </c>
      <c r="C262" s="2" t="inlineStr">
        <is>
          <t>Benchmarking large language models for geolocating c</t>
        </is>
      </c>
      <c r="D262" s="2" t="inlineStr">
        <is>
          <t>custom</t>
        </is>
      </c>
      <c r="E262" s="2" t="n">
        <v>23.4</v>
      </c>
      <c r="F262" s="2" t="inlineStr">
        <is>
          <t>B</t>
        </is>
      </c>
      <c r="G262" s="2" t="n">
        <v>17.579</v>
      </c>
      <c r="H262" s="2" t="n">
        <v>12.045</v>
      </c>
      <c r="I262" s="2" t="n">
        <v>23.891</v>
      </c>
      <c r="J262" s="2" t="inlineStr">
        <is>
          <t>43</t>
        </is>
      </c>
      <c r="K262" s="2" t="inlineStr">
        <is>
          <t>1</t>
        </is>
      </c>
      <c r="L262" s="2" t="inlineStr"/>
      <c r="M262" s="2" t="inlineStr">
        <is>
          <t>재현</t>
        </is>
      </c>
      <c r="N262" s="2" t="inlineStr"/>
      <c r="O262" s="3" t="n"/>
      <c r="P262" s="3" t="n"/>
      <c r="Q262" s="3" t="n"/>
      <c r="R262" s="3" t="n"/>
      <c r="S262" s="3" t="n"/>
      <c r="T262" s="3" t="n"/>
      <c r="U262" s="3" t="n"/>
      <c r="V262" s="3" t="n"/>
      <c r="W262" s="3" t="n"/>
      <c r="X262" s="2">
        <f>IF(COUNTA(O262:Q262)&lt;3,"",IF(AND(O262=P262,P262=Q262),O262,IF(O262=P262,O262,IF(O262=Q262,O262,IF(P262=Q262,P262,"판정 불능")))))</f>
        <v/>
      </c>
      <c r="Y262" s="2">
        <f>IF(COUNTA(O262:Q262)&lt;3,"",IF(AND(O262=P262,P262=Q262),"3/3",IF(OR(O262=P262,O262=Q262,P262=Q262),"2/3","0/3")))</f>
        <v/>
      </c>
    </row>
    <row r="263">
      <c r="A263" s="2" t="n">
        <v>262</v>
      </c>
      <c r="B263" s="2" t="inlineStr">
        <is>
          <t>W7117377764</t>
        </is>
      </c>
      <c r="C263" s="2" t="inlineStr">
        <is>
          <t>Benchmarking large language models for geolocating c</t>
        </is>
      </c>
      <c r="D263" s="2" t="inlineStr">
        <is>
          <t>custom</t>
        </is>
      </c>
      <c r="E263" s="2" t="n">
        <v>23.4</v>
      </c>
      <c r="F263" s="2" t="inlineStr">
        <is>
          <t>C</t>
        </is>
      </c>
      <c r="G263" s="2" t="n">
        <v>19.658</v>
      </c>
      <c r="H263" s="2" t="n">
        <v>14.652</v>
      </c>
      <c r="I263" s="2" t="n">
        <v>25.086</v>
      </c>
      <c r="J263" s="2" t="inlineStr">
        <is>
          <t>43</t>
        </is>
      </c>
      <c r="K263" s="2" t="inlineStr">
        <is>
          <t>0</t>
        </is>
      </c>
      <c r="L263" s="2" t="inlineStr"/>
      <c r="M263" s="2" t="inlineStr">
        <is>
          <t>재현</t>
        </is>
      </c>
      <c r="N263" s="2" t="inlineStr"/>
      <c r="O263" s="3" t="n"/>
      <c r="P263" s="3" t="n"/>
      <c r="Q263" s="3" t="n"/>
      <c r="R263" s="3" t="n"/>
      <c r="S263" s="3" t="n"/>
      <c r="T263" s="3" t="n"/>
      <c r="U263" s="3" t="n"/>
      <c r="V263" s="3" t="n"/>
      <c r="W263" s="3" t="n"/>
      <c r="X263" s="2">
        <f>IF(COUNTA(O263:Q263)&lt;3,"",IF(AND(O263=P263,P263=Q263),O263,IF(O263=P263,O263,IF(O263=Q263,O263,IF(P263=Q263,P263,"판정 불능")))))</f>
        <v/>
      </c>
      <c r="Y263" s="2">
        <f>IF(COUNTA(O263:Q263)&lt;3,"",IF(AND(O263=P263,P263=Q263),"3/3",IF(OR(O263=P263,O263=Q263,P263=Q263),"2/3","0/3")))</f>
        <v/>
      </c>
    </row>
    <row r="264">
      <c r="A264" s="2" t="n">
        <v>263</v>
      </c>
      <c r="B264" s="2" t="inlineStr">
        <is>
          <t>W7117377764</t>
        </is>
      </c>
      <c r="C264" s="2" t="inlineStr">
        <is>
          <t>Benchmarking large language models for geolocating c</t>
        </is>
      </c>
      <c r="D264" s="2" t="inlineStr">
        <is>
          <t>custom</t>
        </is>
      </c>
      <c r="E264" s="2" t="n">
        <v>23.4</v>
      </c>
      <c r="F264" s="2" t="inlineStr">
        <is>
          <t>D</t>
        </is>
      </c>
      <c r="G264" s="2" t="n">
        <v>20.29673308882767</v>
      </c>
      <c r="H264" s="2" t="n">
        <v>14.54194230812638</v>
      </c>
      <c r="I264" s="2" t="n">
        <v>26.65519870109721</v>
      </c>
      <c r="J264" s="2" t="n">
        <v>43</v>
      </c>
      <c r="K264" s="2" t="n">
        <v>0</v>
      </c>
      <c r="L264" s="2" t="inlineStr"/>
      <c r="M264" s="2" t="inlineStr">
        <is>
          <t>재현</t>
        </is>
      </c>
      <c r="N264" s="2" t="inlineStr"/>
      <c r="O264" s="3" t="n"/>
      <c r="P264" s="3" t="n"/>
      <c r="Q264" s="3" t="n"/>
      <c r="R264" s="3" t="n"/>
      <c r="S264" s="3" t="n"/>
      <c r="T264" s="3" t="n"/>
      <c r="U264" s="3" t="n"/>
      <c r="V264" s="3" t="n"/>
      <c r="W264" s="3" t="n"/>
      <c r="X264" s="2">
        <f>IF(COUNTA(O264:Q264)&lt;3,"",IF(AND(O264=P264,P264=Q264),O264,IF(O264=P264,O264,IF(O264=Q264,O264,IF(P264=Q264,P264,"판정 불능")))))</f>
        <v/>
      </c>
      <c r="Y264" s="2">
        <f>IF(COUNTA(O264:Q264)&lt;3,"",IF(AND(O264=P264,P264=Q264),"3/3",IF(OR(O264=P264,O264=Q264,P264=Q264),"2/3","0/3")))</f>
        <v/>
      </c>
    </row>
    <row r="265">
      <c r="A265" s="2" t="n">
        <v>264</v>
      </c>
      <c r="B265" s="2" t="inlineStr">
        <is>
          <t>W7126280993</t>
        </is>
      </c>
      <c r="C265" s="2" t="inlineStr">
        <is>
          <t>Semantic Content Determines Algorithmic Performance</t>
        </is>
      </c>
      <c r="D265" s="2" t="inlineStr">
        <is>
          <t>custom</t>
        </is>
      </c>
      <c r="E265" s="2" t="n">
        <v>0.4</v>
      </c>
      <c r="F265" s="2" t="inlineStr">
        <is>
          <t>A</t>
        </is>
      </c>
      <c r="G265" s="2" t="n">
        <v>0.5373015873015873</v>
      </c>
      <c r="H265" s="2" t="n">
        <v>0.3154361263736264</v>
      </c>
      <c r="I265" s="2" t="n">
        <v>0.8461538461538461</v>
      </c>
      <c r="J265" s="2" t="n">
        <v>133</v>
      </c>
      <c r="K265" s="2" t="n">
        <v>0</v>
      </c>
      <c r="L265" s="2" t="inlineStr">
        <is>
          <t>예</t>
        </is>
      </c>
      <c r="M265" s="2" t="inlineStr">
        <is>
          <t>재현</t>
        </is>
      </c>
      <c r="N265" s="2" t="inlineStr">
        <is>
          <t>예</t>
        </is>
      </c>
      <c r="O265" s="3" t="n"/>
      <c r="P265" s="3" t="n"/>
      <c r="Q265" s="3" t="n"/>
      <c r="R265" s="3" t="n"/>
      <c r="S265" s="3" t="n"/>
      <c r="T265" s="3" t="n"/>
      <c r="U265" s="3" t="n"/>
      <c r="V265" s="3" t="n"/>
      <c r="W265" s="3" t="n"/>
      <c r="X265" s="2">
        <f>IF(COUNTA(O265:Q265)&lt;3,"",IF(AND(O265=P265,P265=Q265),O265,IF(O265=P265,O265,IF(O265=Q265,O265,IF(P265=Q265,P265,"판정 불능")))))</f>
        <v/>
      </c>
      <c r="Y265" s="2">
        <f>IF(COUNTA(O265:Q265)&lt;3,"",IF(AND(O265=P265,P265=Q265),"3/3",IF(OR(O265=P265,O265=Q265,P265=Q265),"2/3","0/3")))</f>
        <v/>
      </c>
    </row>
    <row r="266">
      <c r="A266" s="2" t="n">
        <v>265</v>
      </c>
      <c r="B266" s="2" t="inlineStr">
        <is>
          <t>W7126280993</t>
        </is>
      </c>
      <c r="C266" s="2" t="inlineStr">
        <is>
          <t>Semantic Content Determines Algorithmic Performance</t>
        </is>
      </c>
      <c r="D266" s="2" t="inlineStr">
        <is>
          <t>custom</t>
        </is>
      </c>
      <c r="E266" s="2" t="n">
        <v>0.4</v>
      </c>
      <c r="F266" s="2" t="inlineStr">
        <is>
          <t>B</t>
        </is>
      </c>
      <c r="G266" s="2" t="n">
        <v>0.254</v>
      </c>
      <c r="H266" s="2" t="n">
        <v>0.195</v>
      </c>
      <c r="I266" s="2" t="n">
        <v>0.369</v>
      </c>
      <c r="J266" s="2" t="inlineStr">
        <is>
          <t>383</t>
        </is>
      </c>
      <c r="K266" s="2" t="inlineStr">
        <is>
          <t>0</t>
        </is>
      </c>
      <c r="L266" s="2" t="inlineStr"/>
      <c r="M266" s="2" t="inlineStr">
        <is>
          <t>편차</t>
        </is>
      </c>
      <c r="N266" s="2" t="inlineStr"/>
      <c r="O266" s="3" t="n"/>
      <c r="P266" s="3" t="n"/>
      <c r="Q266" s="3" t="n"/>
      <c r="R266" s="3" t="n"/>
      <c r="S266" s="3" t="n"/>
      <c r="T266" s="3" t="n"/>
      <c r="U266" s="3" t="n"/>
      <c r="V266" s="3" t="n"/>
      <c r="W266" s="3" t="n"/>
      <c r="X266" s="2">
        <f>IF(COUNTA(O266:Q266)&lt;3,"",IF(AND(O266=P266,P266=Q266),O266,IF(O266=P266,O266,IF(O266=Q266,O266,IF(P266=Q266,P266,"판정 불능")))))</f>
        <v/>
      </c>
      <c r="Y266" s="2">
        <f>IF(COUNTA(O266:Q266)&lt;3,"",IF(AND(O266=P266,P266=Q266),"3/3",IF(OR(O266=P266,O266=Q266,P266=Q266),"2/3","0/3")))</f>
        <v/>
      </c>
    </row>
    <row r="267">
      <c r="A267" s="2" t="n">
        <v>266</v>
      </c>
      <c r="B267" s="2" t="inlineStr">
        <is>
          <t>W7126280993</t>
        </is>
      </c>
      <c r="C267" s="2" t="inlineStr">
        <is>
          <t>Semantic Content Determines Algorithmic Performance</t>
        </is>
      </c>
      <c r="D267" s="2" t="inlineStr">
        <is>
          <t>custom</t>
        </is>
      </c>
      <c r="E267" s="2" t="n">
        <v>0.4</v>
      </c>
      <c r="F267" s="2" t="inlineStr">
        <is>
          <t>C</t>
        </is>
      </c>
      <c r="G267" s="2" t="n">
        <v>0.337</v>
      </c>
      <c r="H267" s="2" t="n">
        <v>0.236</v>
      </c>
      <c r="I267" s="2" t="n">
        <v>0.463</v>
      </c>
      <c r="J267" s="2" t="inlineStr">
        <is>
          <t>480</t>
        </is>
      </c>
      <c r="K267" s="2" t="inlineStr">
        <is>
          <t>0</t>
        </is>
      </c>
      <c r="L267" s="2" t="inlineStr"/>
      <c r="M267" s="2" t="inlineStr">
        <is>
          <t>재현</t>
        </is>
      </c>
      <c r="N267" s="2" t="inlineStr"/>
      <c r="O267" s="3" t="n"/>
      <c r="P267" s="3" t="n"/>
      <c r="Q267" s="3" t="n"/>
      <c r="R267" s="3" t="n"/>
      <c r="S267" s="3" t="n"/>
      <c r="T267" s="3" t="n"/>
      <c r="U267" s="3" t="n"/>
      <c r="V267" s="3" t="n"/>
      <c r="W267" s="3" t="n"/>
      <c r="X267" s="2">
        <f>IF(COUNTA(O267:Q267)&lt;3,"",IF(AND(O267=P267,P267=Q267),O267,IF(O267=P267,O267,IF(O267=Q267,O267,IF(P267=Q267,P267,"판정 불능")))))</f>
        <v/>
      </c>
      <c r="Y267" s="2">
        <f>IF(COUNTA(O267:Q267)&lt;3,"",IF(AND(O267=P267,P267=Q267),"3/3",IF(OR(O267=P267,O267=Q267,P267=Q267),"2/3","0/3")))</f>
        <v/>
      </c>
    </row>
    <row r="268">
      <c r="A268" s="2" t="n">
        <v>267</v>
      </c>
      <c r="B268" s="2" t="inlineStr">
        <is>
          <t>W7126280993</t>
        </is>
      </c>
      <c r="C268" s="2" t="inlineStr">
        <is>
          <t>Semantic Content Determines Algorithmic Performance</t>
        </is>
      </c>
      <c r="D268" s="2" t="inlineStr">
        <is>
          <t>custom</t>
        </is>
      </c>
      <c r="E268" s="2" t="n">
        <v>0.4</v>
      </c>
      <c r="F268" s="2" t="inlineStr">
        <is>
          <t>D</t>
        </is>
      </c>
      <c r="G268" s="2" t="n">
        <v>0.25</v>
      </c>
      <c r="H268" s="2" t="n">
        <v>0.174</v>
      </c>
      <c r="I268" s="2" t="n">
        <v>0.373</v>
      </c>
      <c r="J268" s="2" t="inlineStr">
        <is>
          <t>480</t>
        </is>
      </c>
      <c r="K268" s="2" t="inlineStr">
        <is>
          <t>0</t>
        </is>
      </c>
      <c r="L268" s="2" t="inlineStr"/>
      <c r="M268" s="2" t="inlineStr">
        <is>
          <t>편차</t>
        </is>
      </c>
      <c r="N268" s="2" t="inlineStr"/>
      <c r="O268" s="3" t="n"/>
      <c r="P268" s="3" t="n"/>
      <c r="Q268" s="3" t="n"/>
      <c r="R268" s="3" t="n"/>
      <c r="S268" s="3" t="n"/>
      <c r="T268" s="3" t="n"/>
      <c r="U268" s="3" t="n"/>
      <c r="V268" s="3" t="n"/>
      <c r="W268" s="3" t="n"/>
      <c r="X268" s="2">
        <f>IF(COUNTA(O268:Q268)&lt;3,"",IF(AND(O268=P268,P268=Q268),O268,IF(O268=P268,O268,IF(O268=Q268,O268,IF(P268=Q268,P268,"판정 불능")))))</f>
        <v/>
      </c>
      <c r="Y268" s="2">
        <f>IF(COUNTA(O268:Q268)&lt;3,"",IF(AND(O268=P268,P268=Q268),"3/3",IF(OR(O268=P268,O268=Q268,P268=Q268),"2/3","0/3")))</f>
        <v/>
      </c>
    </row>
    <row r="269">
      <c r="A269" s="2" t="n">
        <v>268</v>
      </c>
      <c r="B269" s="2" t="inlineStr">
        <is>
          <t>W7131319772</t>
        </is>
      </c>
      <c r="C269" s="2" t="inlineStr">
        <is>
          <t>Can Large Language Models Replace Human Coders? Intr</t>
        </is>
      </c>
      <c r="D269" s="2" t="inlineStr">
        <is>
          <t>accuracy</t>
        </is>
      </c>
      <c r="E269" s="2" t="n">
        <v>99</v>
      </c>
      <c r="F269" s="2" t="inlineStr">
        <is>
          <t>A</t>
        </is>
      </c>
      <c r="G269" s="2" t="n">
        <v>98.33333333333334</v>
      </c>
      <c r="H269" s="2" t="n">
        <v>97.5</v>
      </c>
      <c r="I269" s="2" t="n">
        <v>99</v>
      </c>
      <c r="J269" s="2" t="n">
        <v>1000</v>
      </c>
      <c r="K269" s="2" t="n">
        <v>0</v>
      </c>
      <c r="L269" s="2" t="inlineStr"/>
      <c r="M269" s="2" t="inlineStr">
        <is>
          <t>재현</t>
        </is>
      </c>
      <c r="N269" s="2" t="inlineStr"/>
      <c r="O269" s="3" t="n"/>
      <c r="P269" s="3" t="n"/>
      <c r="Q269" s="3" t="n"/>
      <c r="R269" s="3" t="n"/>
      <c r="S269" s="3" t="n"/>
      <c r="T269" s="3" t="n"/>
      <c r="U269" s="3" t="n"/>
      <c r="V269" s="3" t="n"/>
      <c r="W269" s="3" t="n"/>
      <c r="X269" s="2">
        <f>IF(COUNTA(O269:Q269)&lt;3,"",IF(AND(O269=P269,P269=Q269),O269,IF(O269=P269,O269,IF(O269=Q269,O269,IF(P269=Q269,P269,"판정 불능")))))</f>
        <v/>
      </c>
      <c r="Y269" s="2">
        <f>IF(COUNTA(O269:Q269)&lt;3,"",IF(AND(O269=P269,P269=Q269),"3/3",IF(OR(O269=P269,O269=Q269,P269=Q269),"2/3","0/3")))</f>
        <v/>
      </c>
    </row>
    <row r="270">
      <c r="A270" s="2" t="n">
        <v>269</v>
      </c>
      <c r="B270" s="2" t="inlineStr">
        <is>
          <t>W7131319772</t>
        </is>
      </c>
      <c r="C270" s="2" t="inlineStr">
        <is>
          <t>Can Large Language Models Replace Human Coders? Intr</t>
        </is>
      </c>
      <c r="D270" s="2" t="inlineStr">
        <is>
          <t>accuracy</t>
        </is>
      </c>
      <c r="E270" s="2" t="n">
        <v>99</v>
      </c>
      <c r="F270" s="2" t="inlineStr">
        <is>
          <t>B</t>
        </is>
      </c>
      <c r="G270" s="2" t="n">
        <v>99.8</v>
      </c>
      <c r="H270" s="2" t="n">
        <v>99.5</v>
      </c>
      <c r="I270" s="2" t="n">
        <v>100</v>
      </c>
      <c r="J270" s="2" t="inlineStr">
        <is>
          <t>1000</t>
        </is>
      </c>
      <c r="K270" s="2" t="inlineStr">
        <is>
          <t>0</t>
        </is>
      </c>
      <c r="L270" s="2" t="inlineStr"/>
      <c r="M270" s="2" t="inlineStr">
        <is>
          <t>재현</t>
        </is>
      </c>
      <c r="N270" s="2" t="inlineStr"/>
      <c r="O270" s="3" t="n"/>
      <c r="P270" s="3" t="n"/>
      <c r="Q270" s="3" t="n"/>
      <c r="R270" s="3" t="n"/>
      <c r="S270" s="3" t="n"/>
      <c r="T270" s="3" t="n"/>
      <c r="U270" s="3" t="n"/>
      <c r="V270" s="3" t="n"/>
      <c r="W270" s="3" t="n"/>
      <c r="X270" s="2">
        <f>IF(COUNTA(O270:Q270)&lt;3,"",IF(AND(O270=P270,P270=Q270),O270,IF(O270=P270,O270,IF(O270=Q270,O270,IF(P270=Q270,P270,"판정 불능")))))</f>
        <v/>
      </c>
      <c r="Y270" s="2">
        <f>IF(COUNTA(O270:Q270)&lt;3,"",IF(AND(O270=P270,P270=Q270),"3/3",IF(OR(O270=P270,O270=Q270,P270=Q270),"2/3","0/3")))</f>
        <v/>
      </c>
    </row>
    <row r="271">
      <c r="A271" s="2" t="n">
        <v>270</v>
      </c>
      <c r="B271" s="2" t="inlineStr">
        <is>
          <t>W7131319772</t>
        </is>
      </c>
      <c r="C271" s="2" t="inlineStr">
        <is>
          <t>Can Large Language Models Replace Human Coders? Intr</t>
        </is>
      </c>
      <c r="D271" s="2" t="inlineStr">
        <is>
          <t>accuracy</t>
        </is>
      </c>
      <c r="E271" s="2" t="n">
        <v>99</v>
      </c>
      <c r="F271" s="2" t="inlineStr">
        <is>
          <t>C</t>
        </is>
      </c>
      <c r="G271" s="2" t="n">
        <v>93</v>
      </c>
      <c r="H271" s="2" t="n">
        <v>91.40000000000001</v>
      </c>
      <c r="I271" s="2" t="n">
        <v>94.5</v>
      </c>
      <c r="J271" s="2" t="inlineStr">
        <is>
          <t>1000</t>
        </is>
      </c>
      <c r="K271" s="2" t="inlineStr">
        <is>
          <t>0</t>
        </is>
      </c>
      <c r="L271" s="2" t="inlineStr"/>
      <c r="M271" s="2" t="inlineStr">
        <is>
          <t>편차</t>
        </is>
      </c>
      <c r="N271" s="2" t="inlineStr"/>
      <c r="O271" s="3" t="n"/>
      <c r="P271" s="3" t="n"/>
      <c r="Q271" s="3" t="n"/>
      <c r="R271" s="3" t="n"/>
      <c r="S271" s="3" t="n"/>
      <c r="T271" s="3" t="n"/>
      <c r="U271" s="3" t="n"/>
      <c r="V271" s="3" t="n"/>
      <c r="W271" s="3" t="n"/>
      <c r="X271" s="2">
        <f>IF(COUNTA(O271:Q271)&lt;3,"",IF(AND(O271=P271,P271=Q271),O271,IF(O271=P271,O271,IF(O271=Q271,O271,IF(P271=Q271,P271,"판정 불능")))))</f>
        <v/>
      </c>
      <c r="Y271" s="2">
        <f>IF(COUNTA(O271:Q271)&lt;3,"",IF(AND(O271=P271,P271=Q271),"3/3",IF(OR(O271=P271,O271=Q271,P271=Q271),"2/3","0/3")))</f>
        <v/>
      </c>
    </row>
    <row r="272">
      <c r="A272" s="2" t="n">
        <v>271</v>
      </c>
      <c r="B272" s="2" t="inlineStr">
        <is>
          <t>W7131319772</t>
        </is>
      </c>
      <c r="C272" s="2" t="inlineStr">
        <is>
          <t>Can Large Language Models Replace Human Coders? Intr</t>
        </is>
      </c>
      <c r="D272" s="2" t="inlineStr">
        <is>
          <t>accuracy</t>
        </is>
      </c>
      <c r="E272" s="2" t="n">
        <v>99</v>
      </c>
      <c r="F272" s="2" t="inlineStr">
        <is>
          <t>D</t>
        </is>
      </c>
      <c r="G272" s="2" t="n">
        <v>99.8</v>
      </c>
      <c r="H272" s="2" t="n">
        <v>99.5</v>
      </c>
      <c r="I272" s="2" t="n">
        <v>100</v>
      </c>
      <c r="J272" s="2" t="inlineStr">
        <is>
          <t>1000</t>
        </is>
      </c>
      <c r="K272" s="2" t="inlineStr">
        <is>
          <t>0</t>
        </is>
      </c>
      <c r="L272" s="2" t="inlineStr"/>
      <c r="M272" s="2" t="inlineStr">
        <is>
          <t>재현</t>
        </is>
      </c>
      <c r="N272" s="2" t="inlineStr"/>
      <c r="O272" s="3" t="n"/>
      <c r="P272" s="3" t="n"/>
      <c r="Q272" s="3" t="n"/>
      <c r="R272" s="3" t="n"/>
      <c r="S272" s="3" t="n"/>
      <c r="T272" s="3" t="n"/>
      <c r="U272" s="3" t="n"/>
      <c r="V272" s="3" t="n"/>
      <c r="W272" s="3" t="n"/>
      <c r="X272" s="2">
        <f>IF(COUNTA(O272:Q272)&lt;3,"",IF(AND(O272=P272,P272=Q272),O272,IF(O272=P272,O272,IF(O272=Q272,O272,IF(P272=Q272,P272,"판정 불능")))))</f>
        <v/>
      </c>
      <c r="Y272" s="2">
        <f>IF(COUNTA(O272:Q272)&lt;3,"",IF(AND(O272=P272,P272=Q272),"3/3",IF(OR(O272=P272,O272=Q272,P272=Q272),"2/3","0/3")))</f>
        <v/>
      </c>
    </row>
    <row r="273">
      <c r="A273" s="2" t="n">
        <v>272</v>
      </c>
      <c r="B273" s="2" t="inlineStr">
        <is>
          <t>W7134094238</t>
        </is>
      </c>
      <c r="C273" s="2" t="inlineStr">
        <is>
          <t>BioLLMAgent: A Hybrid Framework with Enhanced Struct</t>
        </is>
      </c>
      <c r="D273" s="2" t="inlineStr">
        <is>
          <t>custom</t>
        </is>
      </c>
      <c r="E273" s="2" t="n">
        <v>0.002</v>
      </c>
      <c r="F273" s="2" t="inlineStr">
        <is>
          <t>A</t>
        </is>
      </c>
      <c r="G273" s="2" t="n">
        <v>0</v>
      </c>
      <c r="H273" s="2" t="n">
        <v>0</v>
      </c>
      <c r="I273" s="2" t="n">
        <v>0</v>
      </c>
      <c r="J273" s="2" t="inlineStr">
        <is>
          <t>30</t>
        </is>
      </c>
      <c r="K273" s="2" t="inlineStr">
        <is>
          <t>0</t>
        </is>
      </c>
      <c r="L273" s="2" t="inlineStr"/>
      <c r="M273" s="2" t="inlineStr">
        <is>
          <t>재현</t>
        </is>
      </c>
      <c r="N273" s="2" t="inlineStr"/>
      <c r="O273" s="3" t="n"/>
      <c r="P273" s="3" t="n"/>
      <c r="Q273" s="3" t="n"/>
      <c r="R273" s="3" t="n"/>
      <c r="S273" s="3" t="n"/>
      <c r="T273" s="3" t="n"/>
      <c r="U273" s="3" t="n"/>
      <c r="V273" s="3" t="n"/>
      <c r="W273" s="3" t="n"/>
      <c r="X273" s="2">
        <f>IF(COUNTA(O273:Q273)&lt;3,"",IF(AND(O273=P273,P273=Q273),O273,IF(O273=P273,O273,IF(O273=Q273,O273,IF(P273=Q273,P273,"판정 불능")))))</f>
        <v/>
      </c>
      <c r="Y273" s="2">
        <f>IF(COUNTA(O273:Q273)&lt;3,"",IF(AND(O273=P273,P273=Q273),"3/3",IF(OR(O273=P273,O273=Q273,P273=Q273),"2/3","0/3")))</f>
        <v/>
      </c>
    </row>
    <row r="274">
      <c r="A274" s="2" t="n">
        <v>273</v>
      </c>
      <c r="B274" s="2" t="inlineStr">
        <is>
          <t>W7134094238</t>
        </is>
      </c>
      <c r="C274" s="2" t="inlineStr">
        <is>
          <t>BioLLMAgent: A Hybrid Framework with Enhanced Struct</t>
        </is>
      </c>
      <c r="D274" s="2" t="inlineStr">
        <is>
          <t>custom</t>
        </is>
      </c>
      <c r="E274" s="2" t="n">
        <v>0.002</v>
      </c>
      <c r="F274" s="2" t="inlineStr">
        <is>
          <t>B</t>
        </is>
      </c>
      <c r="G274" s="2" t="n">
        <v>0.0003932736497002792</v>
      </c>
      <c r="H274" s="2" t="n">
        <v>0.0003932736497002792</v>
      </c>
      <c r="I274" s="2" t="n">
        <v>0.0003932736497002792</v>
      </c>
      <c r="J274" s="2" t="n">
        <v>30</v>
      </c>
      <c r="K274" s="2" t="n">
        <v>0</v>
      </c>
      <c r="L274" s="2" t="inlineStr"/>
      <c r="M274" s="2" t="inlineStr">
        <is>
          <t>재현</t>
        </is>
      </c>
      <c r="N274" s="2" t="inlineStr"/>
      <c r="O274" s="3" t="n"/>
      <c r="P274" s="3" t="n"/>
      <c r="Q274" s="3" t="n"/>
      <c r="R274" s="3" t="n"/>
      <c r="S274" s="3" t="n"/>
      <c r="T274" s="3" t="n"/>
      <c r="U274" s="3" t="n"/>
      <c r="V274" s="3" t="n"/>
      <c r="W274" s="3" t="n"/>
      <c r="X274" s="2">
        <f>IF(COUNTA(O274:Q274)&lt;3,"",IF(AND(O274=P274,P274=Q274),O274,IF(O274=P274,O274,IF(O274=Q274,O274,IF(P274=Q274,P274,"판정 불능")))))</f>
        <v/>
      </c>
      <c r="Y274" s="2">
        <f>IF(COUNTA(O274:Q274)&lt;3,"",IF(AND(O274=P274,P274=Q274),"3/3",IF(OR(O274=P274,O274=Q274,P274=Q274),"2/3","0/3")))</f>
        <v/>
      </c>
    </row>
    <row r="275">
      <c r="A275" s="2" t="n">
        <v>274</v>
      </c>
      <c r="B275" s="2" t="inlineStr">
        <is>
          <t>W7134094238</t>
        </is>
      </c>
      <c r="C275" s="2" t="inlineStr">
        <is>
          <t>BioLLMAgent: A Hybrid Framework with Enhanced Struct</t>
        </is>
      </c>
      <c r="D275" s="2" t="inlineStr">
        <is>
          <t>custom</t>
        </is>
      </c>
      <c r="E275" s="2" t="n">
        <v>0.002</v>
      </c>
      <c r="F275" s="2" t="inlineStr">
        <is>
          <t>C</t>
        </is>
      </c>
      <c r="G275" s="2" t="n">
        <v>0</v>
      </c>
      <c r="H275" s="2" t="n">
        <v>0</v>
      </c>
      <c r="I275" s="2" t="n">
        <v>0</v>
      </c>
      <c r="J275" s="2" t="inlineStr">
        <is>
          <t>30</t>
        </is>
      </c>
      <c r="K275" s="2" t="inlineStr">
        <is>
          <t>0</t>
        </is>
      </c>
      <c r="L275" s="2" t="inlineStr"/>
      <c r="M275" s="2" t="inlineStr">
        <is>
          <t>재현</t>
        </is>
      </c>
      <c r="N275" s="2" t="inlineStr"/>
      <c r="O275" s="3" t="n"/>
      <c r="P275" s="3" t="n"/>
      <c r="Q275" s="3" t="n"/>
      <c r="R275" s="3" t="n"/>
      <c r="S275" s="3" t="n"/>
      <c r="T275" s="3" t="n"/>
      <c r="U275" s="3" t="n"/>
      <c r="V275" s="3" t="n"/>
      <c r="W275" s="3" t="n"/>
      <c r="X275" s="2">
        <f>IF(COUNTA(O275:Q275)&lt;3,"",IF(AND(O275=P275,P275=Q275),O275,IF(O275=P275,O275,IF(O275=Q275,O275,IF(P275=Q275,P275,"판정 불능")))))</f>
        <v/>
      </c>
      <c r="Y275" s="2">
        <f>IF(COUNTA(O275:Q275)&lt;3,"",IF(AND(O275=P275,P275=Q275),"3/3",IF(OR(O275=P275,O275=Q275,P275=Q275),"2/3","0/3")))</f>
        <v/>
      </c>
    </row>
    <row r="276">
      <c r="A276" s="2" t="n">
        <v>275</v>
      </c>
      <c r="B276" s="2" t="inlineStr">
        <is>
          <t>W7134094238</t>
        </is>
      </c>
      <c r="C276" s="2" t="inlineStr">
        <is>
          <t>BioLLMAgent: A Hybrid Framework with Enhanced Struct</t>
        </is>
      </c>
      <c r="D276" s="2" t="inlineStr">
        <is>
          <t>custom</t>
        </is>
      </c>
      <c r="E276" s="2" t="n">
        <v>0.002</v>
      </c>
      <c r="F276" s="2" t="inlineStr">
        <is>
          <t>D</t>
        </is>
      </c>
      <c r="G276" s="2" t="n">
        <v>0</v>
      </c>
      <c r="H276" s="2" t="n">
        <v>0</v>
      </c>
      <c r="I276" s="2" t="n">
        <v>0</v>
      </c>
      <c r="J276" s="2" t="inlineStr">
        <is>
          <t>30</t>
        </is>
      </c>
      <c r="K276" s="2" t="inlineStr">
        <is>
          <t>0</t>
        </is>
      </c>
      <c r="L276" s="2" t="inlineStr"/>
      <c r="M276" s="2" t="inlineStr">
        <is>
          <t>재현</t>
        </is>
      </c>
      <c r="N276" s="2" t="inlineStr"/>
      <c r="O276" s="3" t="n"/>
      <c r="P276" s="3" t="n"/>
      <c r="Q276" s="3" t="n"/>
      <c r="R276" s="3" t="n"/>
      <c r="S276" s="3" t="n"/>
      <c r="T276" s="3" t="n"/>
      <c r="U276" s="3" t="n"/>
      <c r="V276" s="3" t="n"/>
      <c r="W276" s="3" t="n"/>
      <c r="X276" s="2">
        <f>IF(COUNTA(O276:Q276)&lt;3,"",IF(AND(O276=P276,P276=Q276),O276,IF(O276=P276,O276,IF(O276=Q276,O276,IF(P276=Q276,P276,"판정 불능")))))</f>
        <v/>
      </c>
      <c r="Y276" s="2">
        <f>IF(COUNTA(O276:Q276)&lt;3,"",IF(AND(O276=P276,P276=Q276),"3/3",IF(OR(O276=P276,O276=Q276,P276=Q276),"2/3","0/3")))</f>
        <v/>
      </c>
    </row>
    <row r="277">
      <c r="A277" s="2" t="n">
        <v>276</v>
      </c>
      <c r="B277" s="2" t="inlineStr">
        <is>
          <t>W7134094238</t>
        </is>
      </c>
      <c r="C277" s="2" t="inlineStr">
        <is>
          <t>BioLLMAgent: A Hybrid Framework with Enhanced Struct</t>
        </is>
      </c>
      <c r="D277" s="2" t="inlineStr">
        <is>
          <t>custom</t>
        </is>
      </c>
      <c r="E277" s="2" t="n">
        <v>0.002</v>
      </c>
      <c r="F277" s="2" t="inlineStr">
        <is>
          <t>E</t>
        </is>
      </c>
      <c r="G277" s="2" t="n">
        <v>0</v>
      </c>
      <c r="H277" s="2" t="n">
        <v>0</v>
      </c>
      <c r="I277" s="2" t="n">
        <v>0</v>
      </c>
      <c r="J277" s="2" t="inlineStr">
        <is>
          <t>30</t>
        </is>
      </c>
      <c r="K277" s="2" t="inlineStr">
        <is>
          <t>0</t>
        </is>
      </c>
      <c r="L277" s="2" t="inlineStr"/>
      <c r="M277" s="2" t="inlineStr">
        <is>
          <t>재현</t>
        </is>
      </c>
      <c r="N277" s="2" t="inlineStr"/>
      <c r="O277" s="3" t="n"/>
      <c r="P277" s="3" t="n"/>
      <c r="Q277" s="3" t="n"/>
      <c r="R277" s="3" t="n"/>
      <c r="S277" s="3" t="n"/>
      <c r="T277" s="3" t="n"/>
      <c r="U277" s="3" t="n"/>
      <c r="V277" s="3" t="n"/>
      <c r="W277" s="3" t="n"/>
      <c r="X277" s="2">
        <f>IF(COUNTA(O277:Q277)&lt;3,"",IF(AND(O277=P277,P277=Q277),O277,IF(O277=P277,O277,IF(O277=Q277,O277,IF(P277=Q277,P277,"판정 불능")))))</f>
        <v/>
      </c>
      <c r="Y277" s="2">
        <f>IF(COUNTA(O277:Q277)&lt;3,"",IF(AND(O277=P277,P277=Q277),"3/3",IF(OR(O277=P277,O277=Q277,P277=Q277),"2/3","0/3")))</f>
        <v/>
      </c>
    </row>
    <row r="278">
      <c r="A278" s="2" t="n">
        <v>277</v>
      </c>
      <c r="B278" s="2" t="inlineStr">
        <is>
          <t>W7134885605</t>
        </is>
      </c>
      <c r="C278" s="2" t="inlineStr">
        <is>
          <t>More Signal vs. More Noise - Comparing Full Text and</t>
        </is>
      </c>
      <c r="D278" s="2" t="inlineStr">
        <is>
          <t>accuracy</t>
        </is>
      </c>
      <c r="E278" s="2" t="n">
        <v>0.86</v>
      </c>
      <c r="F278" s="2" t="inlineStr">
        <is>
          <t>A</t>
        </is>
      </c>
      <c r="G278" s="2" t="n">
        <v>0.64</v>
      </c>
      <c r="H278" s="2" t="n">
        <v>0.57</v>
      </c>
      <c r="I278" s="2" t="n">
        <v>0.705</v>
      </c>
      <c r="J278" s="2" t="inlineStr">
        <is>
          <t>200</t>
        </is>
      </c>
      <c r="K278" s="2" t="inlineStr">
        <is>
          <t>0</t>
        </is>
      </c>
      <c r="L278" s="2" t="inlineStr"/>
      <c r="M278" s="2" t="inlineStr">
        <is>
          <t>편차</t>
        </is>
      </c>
      <c r="N278" s="2" t="inlineStr"/>
      <c r="O278" s="3" t="n"/>
      <c r="P278" s="3" t="n"/>
      <c r="Q278" s="3" t="n"/>
      <c r="R278" s="3" t="n"/>
      <c r="S278" s="3" t="n"/>
      <c r="T278" s="3" t="n"/>
      <c r="U278" s="3" t="n"/>
      <c r="V278" s="3" t="n"/>
      <c r="W278" s="3" t="n"/>
      <c r="X278" s="2">
        <f>IF(COUNTA(O278:Q278)&lt;3,"",IF(AND(O278=P278,P278=Q278),O278,IF(O278=P278,O278,IF(O278=Q278,O278,IF(P278=Q278,P278,"판정 불능")))))</f>
        <v/>
      </c>
      <c r="Y278" s="2">
        <f>IF(COUNTA(O278:Q278)&lt;3,"",IF(AND(O278=P278,P278=Q278),"3/3",IF(OR(O278=P278,O278=Q278,P278=Q278),"2/3","0/3")))</f>
        <v/>
      </c>
    </row>
    <row r="279">
      <c r="A279" s="2" t="n">
        <v>278</v>
      </c>
      <c r="B279" s="2" t="inlineStr">
        <is>
          <t>W7134885605</t>
        </is>
      </c>
      <c r="C279" s="2" t="inlineStr">
        <is>
          <t>More Signal vs. More Noise - Comparing Full Text and</t>
        </is>
      </c>
      <c r="D279" s="2" t="inlineStr">
        <is>
          <t>accuracy</t>
        </is>
      </c>
      <c r="E279" s="2" t="n">
        <v>0.86</v>
      </c>
      <c r="F279" s="2" t="inlineStr">
        <is>
          <t>B</t>
        </is>
      </c>
      <c r="G279" s="2" t="n">
        <v>0.89</v>
      </c>
      <c r="H279" s="2" t="n">
        <v>0.85</v>
      </c>
      <c r="I279" s="2" t="n">
        <v>0.93</v>
      </c>
      <c r="J279" s="2" t="n">
        <v>200</v>
      </c>
      <c r="K279" s="2" t="n">
        <v>0</v>
      </c>
      <c r="L279" s="2" t="inlineStr"/>
      <c r="M279" s="2" t="inlineStr">
        <is>
          <t>재현</t>
        </is>
      </c>
      <c r="N279" s="2" t="inlineStr"/>
      <c r="O279" s="3" t="n"/>
      <c r="P279" s="3" t="n"/>
      <c r="Q279" s="3" t="n"/>
      <c r="R279" s="3" t="n"/>
      <c r="S279" s="3" t="n"/>
      <c r="T279" s="3" t="n"/>
      <c r="U279" s="3" t="n"/>
      <c r="V279" s="3" t="n"/>
      <c r="W279" s="3" t="n"/>
      <c r="X279" s="2">
        <f>IF(COUNTA(O279:Q279)&lt;3,"",IF(AND(O279=P279,P279=Q279),O279,IF(O279=P279,O279,IF(O279=Q279,O279,IF(P279=Q279,P279,"판정 불능")))))</f>
        <v/>
      </c>
      <c r="Y279" s="2">
        <f>IF(COUNTA(O279:Q279)&lt;3,"",IF(AND(O279=P279,P279=Q279),"3/3",IF(OR(O279=P279,O279=Q279,P279=Q279),"2/3","0/3")))</f>
        <v/>
      </c>
    </row>
    <row r="280">
      <c r="A280" s="2" t="n">
        <v>279</v>
      </c>
      <c r="B280" s="2" t="inlineStr">
        <is>
          <t>W7134885605</t>
        </is>
      </c>
      <c r="C280" s="2" t="inlineStr">
        <is>
          <t>More Signal vs. More Noise - Comparing Full Text and</t>
        </is>
      </c>
      <c r="D280" s="2" t="inlineStr">
        <is>
          <t>accuracy</t>
        </is>
      </c>
      <c r="E280" s="2" t="n">
        <v>0.86</v>
      </c>
      <c r="F280" s="2" t="inlineStr">
        <is>
          <t>C</t>
        </is>
      </c>
      <c r="G280" s="2" t="n">
        <v>0.975</v>
      </c>
      <c r="H280" s="2" t="n">
        <v>0.95</v>
      </c>
      <c r="I280" s="2" t="n">
        <v>0.995</v>
      </c>
      <c r="J280" s="2" t="inlineStr">
        <is>
          <t>200</t>
        </is>
      </c>
      <c r="K280" s="2" t="inlineStr">
        <is>
          <t>0</t>
        </is>
      </c>
      <c r="L280" s="2" t="inlineStr"/>
      <c r="M280" s="2" t="inlineStr">
        <is>
          <t>편차</t>
        </is>
      </c>
      <c r="N280" s="2" t="inlineStr"/>
      <c r="O280" s="3" t="n"/>
      <c r="P280" s="3" t="n"/>
      <c r="Q280" s="3" t="n"/>
      <c r="R280" s="3" t="n"/>
      <c r="S280" s="3" t="n"/>
      <c r="T280" s="3" t="n"/>
      <c r="U280" s="3" t="n"/>
      <c r="V280" s="3" t="n"/>
      <c r="W280" s="3" t="n"/>
      <c r="X280" s="2">
        <f>IF(COUNTA(O280:Q280)&lt;3,"",IF(AND(O280=P280,P280=Q280),O280,IF(O280=P280,O280,IF(O280=Q280,O280,IF(P280=Q280,P280,"판정 불능")))))</f>
        <v/>
      </c>
      <c r="Y280" s="2">
        <f>IF(COUNTA(O280:Q280)&lt;3,"",IF(AND(O280=P280,P280=Q280),"3/3",IF(OR(O280=P280,O280=Q280,P280=Q280),"2/3","0/3")))</f>
        <v/>
      </c>
    </row>
    <row r="281">
      <c r="A281" s="2" t="n">
        <v>280</v>
      </c>
      <c r="B281" s="2" t="inlineStr">
        <is>
          <t>W7134885605</t>
        </is>
      </c>
      <c r="C281" s="2" t="inlineStr">
        <is>
          <t>More Signal vs. More Noise - Comparing Full Text and</t>
        </is>
      </c>
      <c r="D281" s="2" t="inlineStr">
        <is>
          <t>accuracy</t>
        </is>
      </c>
      <c r="E281" s="2" t="n">
        <v>0.86</v>
      </c>
      <c r="F281" s="2" t="inlineStr">
        <is>
          <t>D</t>
        </is>
      </c>
      <c r="G281" s="2" t="n">
        <v>0.9350000000000001</v>
      </c>
      <c r="H281" s="2" t="n">
        <v>0.9</v>
      </c>
      <c r="I281" s="2" t="n">
        <v>0.97</v>
      </c>
      <c r="J281" s="2" t="inlineStr">
        <is>
          <t>200</t>
        </is>
      </c>
      <c r="K281" s="2" t="inlineStr">
        <is>
          <t>0</t>
        </is>
      </c>
      <c r="L281" s="2" t="inlineStr"/>
      <c r="M281" s="2" t="inlineStr">
        <is>
          <t>편차</t>
        </is>
      </c>
      <c r="N281" s="2" t="inlineStr"/>
      <c r="O281" s="3" t="n"/>
      <c r="P281" s="3" t="n"/>
      <c r="Q281" s="3" t="n"/>
      <c r="R281" s="3" t="n"/>
      <c r="S281" s="3" t="n"/>
      <c r="T281" s="3" t="n"/>
      <c r="U281" s="3" t="n"/>
      <c r="V281" s="3" t="n"/>
      <c r="W281" s="3" t="n"/>
      <c r="X281" s="2">
        <f>IF(COUNTA(O281:Q281)&lt;3,"",IF(AND(O281=P281,P281=Q281),O281,IF(O281=P281,O281,IF(O281=Q281,O281,IF(P281=Q281,P281,"판정 불능")))))</f>
        <v/>
      </c>
      <c r="Y281" s="2">
        <f>IF(COUNTA(O281:Q281)&lt;3,"",IF(AND(O281=P281,P281=Q281),"3/3",IF(OR(O281=P281,O281=Q281,P281=Q281),"2/3","0/3")))</f>
        <v/>
      </c>
    </row>
    <row r="282">
      <c r="A282" s="2" t="n">
        <v>281</v>
      </c>
      <c r="B282" s="2" t="inlineStr">
        <is>
          <t>W7135428702</t>
        </is>
      </c>
      <c r="C282" s="2" t="inlineStr">
        <is>
          <t>SommBench: Assessing Sommelier Expertise of Language</t>
        </is>
      </c>
      <c r="D282" s="2" t="inlineStr">
        <is>
          <t>accuracy</t>
        </is>
      </c>
      <c r="E282" s="2" t="n">
        <v>0.73</v>
      </c>
      <c r="F282" s="2" t="inlineStr">
        <is>
          <t>A</t>
        </is>
      </c>
      <c r="G282" s="2" t="n">
        <v>0.979</v>
      </c>
      <c r="H282" s="2" t="n">
        <v>0.97</v>
      </c>
      <c r="I282" s="2" t="n">
        <v>0.987</v>
      </c>
      <c r="J282" s="2" t="inlineStr">
        <is>
          <t>1024</t>
        </is>
      </c>
      <c r="K282" s="2" t="inlineStr">
        <is>
          <t>0</t>
        </is>
      </c>
      <c r="L282" s="2" t="inlineStr"/>
      <c r="M282" s="2" t="inlineStr">
        <is>
          <t>편차</t>
        </is>
      </c>
      <c r="N282" s="2" t="inlineStr"/>
      <c r="O282" s="3" t="n"/>
      <c r="P282" s="3" t="n"/>
      <c r="Q282" s="3" t="n"/>
      <c r="R282" s="3" t="n"/>
      <c r="S282" s="3" t="n"/>
      <c r="T282" s="3" t="n"/>
      <c r="U282" s="3" t="n"/>
      <c r="V282" s="3" t="n"/>
      <c r="W282" s="3" t="n"/>
      <c r="X282" s="2">
        <f>IF(COUNTA(O282:Q282)&lt;3,"",IF(AND(O282=P282,P282=Q282),O282,IF(O282=P282,O282,IF(O282=Q282,O282,IF(P282=Q282,P282,"판정 불능")))))</f>
        <v/>
      </c>
      <c r="Y282" s="2">
        <f>IF(COUNTA(O282:Q282)&lt;3,"",IF(AND(O282=P282,P282=Q282),"3/3",IF(OR(O282=P282,O282=Q282,P282=Q282),"2/3","0/3")))</f>
        <v/>
      </c>
    </row>
    <row r="283">
      <c r="A283" s="2" t="n">
        <v>282</v>
      </c>
      <c r="B283" s="2" t="inlineStr">
        <is>
          <t>W7135428702</t>
        </is>
      </c>
      <c r="C283" s="2" t="inlineStr">
        <is>
          <t>SommBench: Assessing Sommelier Expertise of Language</t>
        </is>
      </c>
      <c r="D283" s="2" t="inlineStr">
        <is>
          <t>accuracy</t>
        </is>
      </c>
      <c r="E283" s="2" t="n">
        <v>0.73</v>
      </c>
      <c r="F283" s="2" t="inlineStr">
        <is>
          <t>B</t>
        </is>
      </c>
      <c r="G283" s="2" t="n">
        <v>0.913</v>
      </c>
      <c r="H283" s="2" t="n">
        <v>0.896</v>
      </c>
      <c r="I283" s="2" t="n">
        <v>0.931</v>
      </c>
      <c r="J283" s="2" t="inlineStr">
        <is>
          <t>1024</t>
        </is>
      </c>
      <c r="K283" s="2" t="inlineStr">
        <is>
          <t>0</t>
        </is>
      </c>
      <c r="L283" s="2" t="inlineStr"/>
      <c r="M283" s="2" t="inlineStr">
        <is>
          <t>편차</t>
        </is>
      </c>
      <c r="N283" s="2" t="inlineStr"/>
      <c r="O283" s="3" t="n"/>
      <c r="P283" s="3" t="n"/>
      <c r="Q283" s="3" t="n"/>
      <c r="R283" s="3" t="n"/>
      <c r="S283" s="3" t="n"/>
      <c r="T283" s="3" t="n"/>
      <c r="U283" s="3" t="n"/>
      <c r="V283" s="3" t="n"/>
      <c r="W283" s="3" t="n"/>
      <c r="X283" s="2">
        <f>IF(COUNTA(O283:Q283)&lt;3,"",IF(AND(O283=P283,P283=Q283),O283,IF(O283=P283,O283,IF(O283=Q283,O283,IF(P283=Q283,P283,"판정 불능")))))</f>
        <v/>
      </c>
      <c r="Y283" s="2">
        <f>IF(COUNTA(O283:Q283)&lt;3,"",IF(AND(O283=P283,P283=Q283),"3/3",IF(OR(O283=P283,O283=Q283,P283=Q283),"2/3","0/3")))</f>
        <v/>
      </c>
    </row>
    <row r="284">
      <c r="A284" s="2" t="n">
        <v>283</v>
      </c>
      <c r="B284" s="2" t="inlineStr">
        <is>
          <t>W7135428702</t>
        </is>
      </c>
      <c r="C284" s="2" t="inlineStr">
        <is>
          <t>SommBench: Assessing Sommelier Expertise of Language</t>
        </is>
      </c>
      <c r="D284" s="2" t="inlineStr">
        <is>
          <t>accuracy</t>
        </is>
      </c>
      <c r="E284" s="2" t="n">
        <v>0.73</v>
      </c>
      <c r="F284" s="2" t="inlineStr">
        <is>
          <t>C</t>
        </is>
      </c>
      <c r="G284" s="2" t="n">
        <v>0.805</v>
      </c>
      <c r="H284" s="2" t="n">
        <v>0.78</v>
      </c>
      <c r="I284" s="2" t="n">
        <v>0.828</v>
      </c>
      <c r="J284" s="2" t="inlineStr">
        <is>
          <t>1024</t>
        </is>
      </c>
      <c r="K284" s="2" t="inlineStr">
        <is>
          <t>0</t>
        </is>
      </c>
      <c r="L284" s="2" t="inlineStr"/>
      <c r="M284" s="2" t="inlineStr">
        <is>
          <t>편차</t>
        </is>
      </c>
      <c r="N284" s="2" t="inlineStr"/>
      <c r="O284" s="3" t="n"/>
      <c r="P284" s="3" t="n"/>
      <c r="Q284" s="3" t="n"/>
      <c r="R284" s="3" t="n"/>
      <c r="S284" s="3" t="n"/>
      <c r="T284" s="3" t="n"/>
      <c r="U284" s="3" t="n"/>
      <c r="V284" s="3" t="n"/>
      <c r="W284" s="3" t="n"/>
      <c r="X284" s="2">
        <f>IF(COUNTA(O284:Q284)&lt;3,"",IF(AND(O284=P284,P284=Q284),O284,IF(O284=P284,O284,IF(O284=Q284,O284,IF(P284=Q284,P284,"판정 불능")))))</f>
        <v/>
      </c>
      <c r="Y284" s="2">
        <f>IF(COUNTA(O284:Q284)&lt;3,"",IF(AND(O284=P284,P284=Q284),"3/3",IF(OR(O284=P284,O284=Q284,P284=Q284),"2/3","0/3")))</f>
        <v/>
      </c>
    </row>
    <row r="285">
      <c r="A285" s="2" t="n">
        <v>284</v>
      </c>
      <c r="B285" s="2" t="inlineStr">
        <is>
          <t>W7135428702</t>
        </is>
      </c>
      <c r="C285" s="2" t="inlineStr">
        <is>
          <t>SommBench: Assessing Sommelier Expertise of Language</t>
        </is>
      </c>
      <c r="D285" s="2" t="inlineStr">
        <is>
          <t>accuracy</t>
        </is>
      </c>
      <c r="E285" s="2" t="n">
        <v>0.73</v>
      </c>
      <c r="F285" s="2" t="inlineStr">
        <is>
          <t>D</t>
        </is>
      </c>
      <c r="G285" s="2" t="n">
        <v>0.7408854166666666</v>
      </c>
      <c r="H285" s="2" t="n">
        <v>0.7138427734375</v>
      </c>
      <c r="I285" s="2" t="n">
        <v>0.7666015625</v>
      </c>
      <c r="J285" s="2" t="n">
        <v>1024</v>
      </c>
      <c r="K285" s="2" t="n">
        <v>0</v>
      </c>
      <c r="L285" s="2" t="inlineStr"/>
      <c r="M285" s="2" t="inlineStr">
        <is>
          <t>재현</t>
        </is>
      </c>
      <c r="N285" s="2" t="inlineStr"/>
      <c r="O285" s="3" t="n"/>
      <c r="P285" s="3" t="n"/>
      <c r="Q285" s="3" t="n"/>
      <c r="R285" s="3" t="n"/>
      <c r="S285" s="3" t="n"/>
      <c r="T285" s="3" t="n"/>
      <c r="U285" s="3" t="n"/>
      <c r="V285" s="3" t="n"/>
      <c r="W285" s="3" t="n"/>
      <c r="X285" s="2">
        <f>IF(COUNTA(O285:Q285)&lt;3,"",IF(AND(O285=P285,P285=Q285),O285,IF(O285=P285,O285,IF(O285=Q285,O285,IF(P285=Q285,P285,"판정 불능")))))</f>
        <v/>
      </c>
      <c r="Y285" s="2">
        <f>IF(COUNTA(O285:Q285)&lt;3,"",IF(AND(O285=P285,P285=Q285),"3/3",IF(OR(O285=P285,O285=Q285,P285=Q285),"2/3","0/3")))</f>
        <v/>
      </c>
    </row>
    <row r="286">
      <c r="A286" s="2" t="n">
        <v>285</v>
      </c>
      <c r="B286" s="2" t="inlineStr">
        <is>
          <t>W7139147531</t>
        </is>
      </c>
      <c r="C286" s="2" t="inlineStr">
        <is>
          <t>LLMs learn scientific taste from institutional trace</t>
        </is>
      </c>
      <c r="D286" s="2" t="inlineStr">
        <is>
          <t>accuracy</t>
        </is>
      </c>
      <c r="E286" s="2" t="n">
        <v>25</v>
      </c>
      <c r="F286" s="2" t="inlineStr">
        <is>
          <t>A</t>
        </is>
      </c>
      <c r="G286" s="2" t="n">
        <v>23.88888888888889</v>
      </c>
      <c r="H286" s="2" t="n">
        <v>15.83333333333333</v>
      </c>
      <c r="I286" s="2" t="n">
        <v>30.83333333333334</v>
      </c>
      <c r="J286" s="2" t="n">
        <v>120</v>
      </c>
      <c r="K286" s="2" t="n">
        <v>0</v>
      </c>
      <c r="L286" s="2" t="inlineStr"/>
      <c r="M286" s="2" t="inlineStr">
        <is>
          <t>재현</t>
        </is>
      </c>
      <c r="N286" s="2" t="inlineStr"/>
      <c r="O286" s="3" t="n"/>
      <c r="P286" s="3" t="n"/>
      <c r="Q286" s="3" t="n"/>
      <c r="R286" s="3" t="n"/>
      <c r="S286" s="3" t="n"/>
      <c r="T286" s="3" t="n"/>
      <c r="U286" s="3" t="n"/>
      <c r="V286" s="3" t="n"/>
      <c r="W286" s="3" t="n"/>
      <c r="X286" s="2">
        <f>IF(COUNTA(O286:Q286)&lt;3,"",IF(AND(O286=P286,P286=Q286),O286,IF(O286=P286,O286,IF(O286=Q286,O286,IF(P286=Q286,P286,"판정 불능")))))</f>
        <v/>
      </c>
      <c r="Y286" s="2">
        <f>IF(COUNTA(O286:Q286)&lt;3,"",IF(AND(O286=P286,P286=Q286),"3/3",IF(OR(O286=P286,O286=Q286,P286=Q286),"2/3","0/3")))</f>
        <v/>
      </c>
    </row>
    <row r="287">
      <c r="A287" s="2" t="n">
        <v>286</v>
      </c>
      <c r="B287" s="2" t="inlineStr">
        <is>
          <t>W7140084705</t>
        </is>
      </c>
      <c r="C287" s="2" t="inlineStr">
        <is>
          <t>Quantifying Data Contamination in Psychometric Evalu</t>
        </is>
      </c>
      <c r="D287" s="2" t="inlineStr">
        <is>
          <t>macro_f1</t>
        </is>
      </c>
      <c r="E287" s="2" t="n">
        <v>0.92</v>
      </c>
      <c r="F287" s="2" t="inlineStr">
        <is>
          <t>A</t>
        </is>
      </c>
      <c r="G287" s="2" t="n">
        <v>0.931</v>
      </c>
      <c r="H287" s="2" t="n">
        <v>0.88</v>
      </c>
      <c r="I287" s="2" t="n">
        <v>0.973</v>
      </c>
      <c r="J287" s="2" t="inlineStr">
        <is>
          <t>138</t>
        </is>
      </c>
      <c r="K287" s="2" t="inlineStr">
        <is>
          <t>1</t>
        </is>
      </c>
      <c r="L287" s="2" t="inlineStr"/>
      <c r="M287" s="2" t="inlineStr">
        <is>
          <t>재현</t>
        </is>
      </c>
      <c r="N287" s="2" t="inlineStr"/>
      <c r="O287" s="3" t="n"/>
      <c r="P287" s="3" t="n"/>
      <c r="Q287" s="3" t="n"/>
      <c r="R287" s="3" t="n"/>
      <c r="S287" s="3" t="n"/>
      <c r="T287" s="3" t="n"/>
      <c r="U287" s="3" t="n"/>
      <c r="V287" s="3" t="n"/>
      <c r="W287" s="3" t="n"/>
      <c r="X287" s="2">
        <f>IF(COUNTA(O287:Q287)&lt;3,"",IF(AND(O287=P287,P287=Q287),O287,IF(O287=P287,O287,IF(O287=Q287,O287,IF(P287=Q287,P287,"판정 불능")))))</f>
        <v/>
      </c>
      <c r="Y287" s="2">
        <f>IF(COUNTA(O287:Q287)&lt;3,"",IF(AND(O287=P287,P287=Q287),"3/3",IF(OR(O287=P287,O287=Q287,P287=Q287),"2/3","0/3")))</f>
        <v/>
      </c>
    </row>
    <row r="288">
      <c r="A288" s="2" t="n">
        <v>287</v>
      </c>
      <c r="B288" s="2" t="inlineStr">
        <is>
          <t>W7140084705</t>
        </is>
      </c>
      <c r="C288" s="2" t="inlineStr">
        <is>
          <t>Quantifying Data Contamination in Psychometric Evalu</t>
        </is>
      </c>
      <c r="D288" s="2" t="inlineStr">
        <is>
          <t>macro_f1</t>
        </is>
      </c>
      <c r="E288" s="2" t="n">
        <v>0.92</v>
      </c>
      <c r="F288" s="2" t="inlineStr">
        <is>
          <t>B</t>
        </is>
      </c>
      <c r="G288" s="2" t="n">
        <v>0.9128095125436625</v>
      </c>
      <c r="H288" s="2" t="n">
        <v>0.8495641485539185</v>
      </c>
      <c r="I288" s="2" t="n">
        <v>0.9617303171040384</v>
      </c>
      <c r="J288" s="2" t="n">
        <v>138</v>
      </c>
      <c r="K288" s="2" t="n">
        <v>0</v>
      </c>
      <c r="L288" s="2" t="inlineStr"/>
      <c r="M288" s="2" t="inlineStr">
        <is>
          <t>재현</t>
        </is>
      </c>
      <c r="N288" s="2" t="inlineStr"/>
      <c r="O288" s="3" t="n"/>
      <c r="P288" s="3" t="n"/>
      <c r="Q288" s="3" t="n"/>
      <c r="R288" s="3" t="n"/>
      <c r="S288" s="3" t="n"/>
      <c r="T288" s="3" t="n"/>
      <c r="U288" s="3" t="n"/>
      <c r="V288" s="3" t="n"/>
      <c r="W288" s="3" t="n"/>
      <c r="X288" s="2">
        <f>IF(COUNTA(O288:Q288)&lt;3,"",IF(AND(O288=P288,P288=Q288),O288,IF(O288=P288,O288,IF(O288=Q288,O288,IF(P288=Q288,P288,"판정 불능")))))</f>
        <v/>
      </c>
      <c r="Y288" s="2">
        <f>IF(COUNTA(O288:Q288)&lt;3,"",IF(AND(O288=P288,P288=Q288),"3/3",IF(OR(O288=P288,O288=Q288,P288=Q288),"2/3","0/3")))</f>
        <v/>
      </c>
    </row>
    <row r="289">
      <c r="A289" s="2" t="n">
        <v>288</v>
      </c>
      <c r="B289" s="2" t="inlineStr">
        <is>
          <t>W7140084705</t>
        </is>
      </c>
      <c r="C289" s="2" t="inlineStr">
        <is>
          <t>Quantifying Data Contamination in Psychometric Evalu</t>
        </is>
      </c>
      <c r="D289" s="2" t="inlineStr">
        <is>
          <t>macro_f1</t>
        </is>
      </c>
      <c r="E289" s="2" t="n">
        <v>0.92</v>
      </c>
      <c r="F289" s="2" t="inlineStr">
        <is>
          <t>C</t>
        </is>
      </c>
      <c r="G289" s="2" t="n">
        <v>0.986</v>
      </c>
      <c r="H289" s="2" t="n">
        <v>0.961</v>
      </c>
      <c r="I289" s="2" t="n">
        <v>1</v>
      </c>
      <c r="J289" s="2" t="inlineStr">
        <is>
          <t>138</t>
        </is>
      </c>
      <c r="K289" s="2" t="inlineStr">
        <is>
          <t>0</t>
        </is>
      </c>
      <c r="L289" s="2" t="inlineStr"/>
      <c r="M289" s="2" t="inlineStr">
        <is>
          <t>편차</t>
        </is>
      </c>
      <c r="N289" s="2" t="inlineStr"/>
      <c r="O289" s="3" t="n"/>
      <c r="P289" s="3" t="n"/>
      <c r="Q289" s="3" t="n"/>
      <c r="R289" s="3" t="n"/>
      <c r="S289" s="3" t="n"/>
      <c r="T289" s="3" t="n"/>
      <c r="U289" s="3" t="n"/>
      <c r="V289" s="3" t="n"/>
      <c r="W289" s="3" t="n"/>
      <c r="X289" s="2">
        <f>IF(COUNTA(O289:Q289)&lt;3,"",IF(AND(O289=P289,P289=Q289),O289,IF(O289=P289,O289,IF(O289=Q289,O289,IF(P289=Q289,P289,"판정 불능")))))</f>
        <v/>
      </c>
      <c r="Y289" s="2">
        <f>IF(COUNTA(O289:Q289)&lt;3,"",IF(AND(O289=P289,P289=Q289),"3/3",IF(OR(O289=P289,O289=Q289,P289=Q289),"2/3","0/3")))</f>
        <v/>
      </c>
    </row>
    <row r="290">
      <c r="A290" s="2" t="n">
        <v>289</v>
      </c>
      <c r="B290" s="2" t="inlineStr">
        <is>
          <t>W7140084705</t>
        </is>
      </c>
      <c r="C290" s="2" t="inlineStr">
        <is>
          <t>Quantifying Data Contamination in Psychometric Evalu</t>
        </is>
      </c>
      <c r="D290" s="2" t="inlineStr">
        <is>
          <t>macro_f1</t>
        </is>
      </c>
      <c r="E290" s="2" t="n">
        <v>0.92</v>
      </c>
      <c r="F290" s="2" t="inlineStr">
        <is>
          <t>D</t>
        </is>
      </c>
      <c r="G290" s="2" t="n">
        <v>1</v>
      </c>
      <c r="H290" s="2" t="n">
        <v>1</v>
      </c>
      <c r="I290" s="2" t="n">
        <v>1</v>
      </c>
      <c r="J290" s="2" t="inlineStr">
        <is>
          <t>138</t>
        </is>
      </c>
      <c r="K290" s="2" t="inlineStr">
        <is>
          <t>0</t>
        </is>
      </c>
      <c r="L290" s="2" t="inlineStr"/>
      <c r="M290" s="2" t="inlineStr">
        <is>
          <t>편차</t>
        </is>
      </c>
      <c r="N290" s="2" t="inlineStr"/>
      <c r="O290" s="3" t="n"/>
      <c r="P290" s="3" t="n"/>
      <c r="Q290" s="3" t="n"/>
      <c r="R290" s="3" t="n"/>
      <c r="S290" s="3" t="n"/>
      <c r="T290" s="3" t="n"/>
      <c r="U290" s="3" t="n"/>
      <c r="V290" s="3" t="n"/>
      <c r="W290" s="3" t="n"/>
      <c r="X290" s="2">
        <f>IF(COUNTA(O290:Q290)&lt;3,"",IF(AND(O290=P290,P290=Q290),O290,IF(O290=P290,O290,IF(O290=Q290,O290,IF(P290=Q290,P290,"판정 불능")))))</f>
        <v/>
      </c>
      <c r="Y290" s="2">
        <f>IF(COUNTA(O290:Q290)&lt;3,"",IF(AND(O290=P290,P290=Q290),"3/3",IF(OR(O290=P290,O290=Q290,P290=Q290),"2/3","0/3")))</f>
        <v/>
      </c>
    </row>
    <row r="291">
      <c r="A291" s="2" t="n">
        <v>290</v>
      </c>
      <c r="B291" s="2" t="inlineStr">
        <is>
          <t>W7140138327</t>
        </is>
      </c>
      <c r="C291" s="2" t="inlineStr">
        <is>
          <t>ReMedQA: Are We Done With Medical Multiple-Choice Be</t>
        </is>
      </c>
      <c r="D291" s="2" t="inlineStr">
        <is>
          <t>accuracy</t>
        </is>
      </c>
      <c r="E291" s="2" t="n">
        <v>94.40000000000001</v>
      </c>
      <c r="F291" s="2" t="inlineStr">
        <is>
          <t>A</t>
        </is>
      </c>
      <c r="G291" s="2" t="n">
        <v>93.75165475244901</v>
      </c>
      <c r="H291" s="2" t="n">
        <v>92.69261318506751</v>
      </c>
      <c r="I291" s="2" t="n">
        <v>95.39316918189039</v>
      </c>
      <c r="J291" s="2" t="n">
        <v>1259</v>
      </c>
      <c r="K291" s="2" t="n">
        <v>1</v>
      </c>
      <c r="L291" s="2" t="inlineStr"/>
      <c r="M291" s="2" t="inlineStr">
        <is>
          <t>재현</t>
        </is>
      </c>
      <c r="N291" s="2" t="inlineStr"/>
      <c r="O291" s="3" t="n"/>
      <c r="P291" s="3" t="n"/>
      <c r="Q291" s="3" t="n"/>
      <c r="R291" s="3" t="n"/>
      <c r="S291" s="3" t="n"/>
      <c r="T291" s="3" t="n"/>
      <c r="U291" s="3" t="n"/>
      <c r="V291" s="3" t="n"/>
      <c r="W291" s="3" t="n"/>
      <c r="X291" s="2">
        <f>IF(COUNTA(O291:Q291)&lt;3,"",IF(AND(O291=P291,P291=Q291),O291,IF(O291=P291,O291,IF(O291=Q291,O291,IF(P291=Q291,P291,"판정 불능")))))</f>
        <v/>
      </c>
      <c r="Y291" s="2">
        <f>IF(COUNTA(O291:Q291)&lt;3,"",IF(AND(O291=P291,P291=Q291),"3/3",IF(OR(O291=P291,O291=Q291,P291=Q291),"2/3","0/3")))</f>
        <v/>
      </c>
    </row>
    <row r="292">
      <c r="A292" s="2" t="n">
        <v>291</v>
      </c>
      <c r="B292" s="2" t="inlineStr">
        <is>
          <t>W7140138327</t>
        </is>
      </c>
      <c r="C292" s="2" t="inlineStr">
        <is>
          <t>ReMedQA: Are We Done With Medical Multiple-Choice Be</t>
        </is>
      </c>
      <c r="D292" s="2" t="inlineStr">
        <is>
          <t>accuracy</t>
        </is>
      </c>
      <c r="E292" s="2" t="n">
        <v>94.40000000000001</v>
      </c>
      <c r="F292" s="2" t="inlineStr">
        <is>
          <t>B</t>
        </is>
      </c>
      <c r="G292" s="2" t="n">
        <v>85.226</v>
      </c>
      <c r="H292" s="2" t="n">
        <v>83.241</v>
      </c>
      <c r="I292" s="2" t="n">
        <v>87.212</v>
      </c>
      <c r="J292" s="2" t="inlineStr">
        <is>
          <t>1259</t>
        </is>
      </c>
      <c r="K292" s="2" t="inlineStr">
        <is>
          <t>8</t>
        </is>
      </c>
      <c r="L292" s="2" t="inlineStr"/>
      <c r="M292" s="2" t="inlineStr">
        <is>
          <t>편차</t>
        </is>
      </c>
      <c r="N292" s="2" t="inlineStr"/>
      <c r="O292" s="3" t="n"/>
      <c r="P292" s="3" t="n"/>
      <c r="Q292" s="3" t="n"/>
      <c r="R292" s="3" t="n"/>
      <c r="S292" s="3" t="n"/>
      <c r="T292" s="3" t="n"/>
      <c r="U292" s="3" t="n"/>
      <c r="V292" s="3" t="n"/>
      <c r="W292" s="3" t="n"/>
      <c r="X292" s="2">
        <f>IF(COUNTA(O292:Q292)&lt;3,"",IF(AND(O292=P292,P292=Q292),O292,IF(O292=P292,O292,IF(O292=Q292,O292,IF(P292=Q292,P292,"판정 불능")))))</f>
        <v/>
      </c>
      <c r="Y292" s="2">
        <f>IF(COUNTA(O292:Q292)&lt;3,"",IF(AND(O292=P292,P292=Q292),"3/3",IF(OR(O292=P292,O292=Q292,P292=Q292),"2/3","0/3")))</f>
        <v/>
      </c>
    </row>
    <row r="293">
      <c r="A293" s="2" t="n">
        <v>292</v>
      </c>
      <c r="B293" s="2" t="inlineStr">
        <is>
          <t>W7140138327</t>
        </is>
      </c>
      <c r="C293" s="2" t="inlineStr">
        <is>
          <t>ReMedQA: Are We Done With Medical Multiple-Choice Be</t>
        </is>
      </c>
      <c r="D293" s="2" t="inlineStr">
        <is>
          <t>accuracy</t>
        </is>
      </c>
      <c r="E293" s="2" t="n">
        <v>94.40000000000001</v>
      </c>
      <c r="F293" s="2" t="inlineStr">
        <is>
          <t>C</t>
        </is>
      </c>
      <c r="G293" s="2" t="n">
        <v>97.06100000000001</v>
      </c>
      <c r="H293" s="2" t="n">
        <v>96.108</v>
      </c>
      <c r="I293" s="2" t="n">
        <v>98.014</v>
      </c>
      <c r="J293" s="2" t="inlineStr">
        <is>
          <t>1259</t>
        </is>
      </c>
      <c r="K293" s="2" t="inlineStr">
        <is>
          <t>1</t>
        </is>
      </c>
      <c r="L293" s="2" t="inlineStr"/>
      <c r="M293" s="2" t="inlineStr">
        <is>
          <t>근접</t>
        </is>
      </c>
      <c r="N293" s="2" t="inlineStr"/>
      <c r="O293" s="3" t="n"/>
      <c r="P293" s="3" t="n"/>
      <c r="Q293" s="3" t="n"/>
      <c r="R293" s="3" t="n"/>
      <c r="S293" s="3" t="n"/>
      <c r="T293" s="3" t="n"/>
      <c r="U293" s="3" t="n"/>
      <c r="V293" s="3" t="n"/>
      <c r="W293" s="3" t="n"/>
      <c r="X293" s="2">
        <f>IF(COUNTA(O293:Q293)&lt;3,"",IF(AND(O293=P293,P293=Q293),O293,IF(O293=P293,O293,IF(O293=Q293,O293,IF(P293=Q293,P293,"판정 불능")))))</f>
        <v/>
      </c>
      <c r="Y293" s="2">
        <f>IF(COUNTA(O293:Q293)&lt;3,"",IF(AND(O293=P293,P293=Q293),"3/3",IF(OR(O293=P293,O293=Q293,P293=Q293),"2/3","0/3")))</f>
        <v/>
      </c>
    </row>
    <row r="294">
      <c r="A294" s="2" t="n">
        <v>293</v>
      </c>
      <c r="B294" s="2" t="inlineStr">
        <is>
          <t>W7140138327</t>
        </is>
      </c>
      <c r="C294" s="2" t="inlineStr">
        <is>
          <t>ReMedQA: Are We Done With Medical Multiple-Choice Be</t>
        </is>
      </c>
      <c r="D294" s="2" t="inlineStr">
        <is>
          <t>accuracy</t>
        </is>
      </c>
      <c r="E294" s="2" t="n">
        <v>94.40000000000001</v>
      </c>
      <c r="F294" s="2" t="inlineStr">
        <is>
          <t>D</t>
        </is>
      </c>
      <c r="G294" s="2" t="n">
        <v>93.309</v>
      </c>
      <c r="H294" s="2" t="n">
        <v>91.729</v>
      </c>
      <c r="I294" s="2" t="n">
        <v>94.79600000000001</v>
      </c>
      <c r="J294" s="2" t="inlineStr">
        <is>
          <t>1076</t>
        </is>
      </c>
      <c r="K294" s="2" t="inlineStr">
        <is>
          <t>29</t>
        </is>
      </c>
      <c r="L294" s="2" t="inlineStr">
        <is>
          <t>예</t>
        </is>
      </c>
      <c r="M294" s="2" t="inlineStr">
        <is>
          <t>재현</t>
        </is>
      </c>
      <c r="N294" s="2" t="inlineStr"/>
      <c r="O294" s="3" t="n"/>
      <c r="P294" s="3" t="n"/>
      <c r="Q294" s="3" t="n"/>
      <c r="R294" s="3" t="n"/>
      <c r="S294" s="3" t="n"/>
      <c r="T294" s="3" t="n"/>
      <c r="U294" s="3" t="n"/>
      <c r="V294" s="3" t="n"/>
      <c r="W294" s="3" t="n"/>
      <c r="X294" s="2">
        <f>IF(COUNTA(O294:Q294)&lt;3,"",IF(AND(O294=P294,P294=Q294),O294,IF(O294=P294,O294,IF(O294=Q294,O294,IF(P294=Q294,P294,"판정 불능")))))</f>
        <v/>
      </c>
      <c r="Y294" s="2">
        <f>IF(COUNTA(O294:Q294)&lt;3,"",IF(AND(O294=P294,P294=Q294),"3/3",IF(OR(O294=P294,O294=Q294,P294=Q294),"2/3","0/3")))</f>
        <v/>
      </c>
    </row>
    <row r="295">
      <c r="A295" s="2" t="n">
        <v>294</v>
      </c>
      <c r="B295" s="2" t="inlineStr">
        <is>
          <t>W7140953907</t>
        </is>
      </c>
      <c r="C295" s="2" t="inlineStr">
        <is>
          <t>How Utilitarian Are OpenAI's Models Really? Replicat</t>
        </is>
      </c>
      <c r="D295" s="2" t="inlineStr">
        <is>
          <t>accuracy</t>
        </is>
      </c>
      <c r="E295" s="2" t="n">
        <v>100</v>
      </c>
      <c r="F295" s="2" t="inlineStr">
        <is>
          <t>A</t>
        </is>
      </c>
      <c r="G295" s="2" t="n">
        <v>99.90000000000001</v>
      </c>
      <c r="H295" s="2" t="n">
        <v>99.7</v>
      </c>
      <c r="I295" s="2" t="n">
        <v>100</v>
      </c>
      <c r="J295" s="2" t="n">
        <v>1000</v>
      </c>
      <c r="K295" s="2" t="n">
        <v>0</v>
      </c>
      <c r="L295" s="2" t="inlineStr"/>
      <c r="M295" s="2" t="inlineStr">
        <is>
          <t>재현</t>
        </is>
      </c>
      <c r="N295" s="2" t="inlineStr"/>
      <c r="O295" s="3" t="n"/>
      <c r="P295" s="3" t="n"/>
      <c r="Q295" s="3" t="n"/>
      <c r="R295" s="3" t="n"/>
      <c r="S295" s="3" t="n"/>
      <c r="T295" s="3" t="n"/>
      <c r="U295" s="3" t="n"/>
      <c r="V295" s="3" t="n"/>
      <c r="W295" s="3" t="n"/>
      <c r="X295" s="2">
        <f>IF(COUNTA(O295:Q295)&lt;3,"",IF(AND(O295=P295,P295=Q295),O295,IF(O295=P295,O295,IF(O295=Q295,O295,IF(P295=Q295,P295,"판정 불능")))))</f>
        <v/>
      </c>
      <c r="Y295" s="2">
        <f>IF(COUNTA(O295:Q295)&lt;3,"",IF(AND(O295=P295,P295=Q295),"3/3",IF(OR(O295=P295,O295=Q295,P295=Q295),"2/3","0/3")))</f>
        <v/>
      </c>
    </row>
    <row r="296">
      <c r="A296" s="2" t="n">
        <v>295</v>
      </c>
      <c r="B296" s="2" t="inlineStr">
        <is>
          <t>W7140953907</t>
        </is>
      </c>
      <c r="C296" s="2" t="inlineStr">
        <is>
          <t>How Utilitarian Are OpenAI's Models Really? Replicat</t>
        </is>
      </c>
      <c r="D296" s="2" t="inlineStr">
        <is>
          <t>accuracy</t>
        </is>
      </c>
      <c r="E296" s="2" t="n">
        <v>100</v>
      </c>
      <c r="F296" s="2" t="inlineStr">
        <is>
          <t>B</t>
        </is>
      </c>
      <c r="G296" s="2" t="n">
        <v>100</v>
      </c>
      <c r="H296" s="2" t="n">
        <v>100</v>
      </c>
      <c r="I296" s="2" t="n">
        <v>100</v>
      </c>
      <c r="J296" s="2" t="inlineStr">
        <is>
          <t>1000</t>
        </is>
      </c>
      <c r="K296" s="2" t="inlineStr">
        <is>
          <t>0</t>
        </is>
      </c>
      <c r="L296" s="2" t="inlineStr"/>
      <c r="M296" s="2" t="inlineStr">
        <is>
          <t>재현</t>
        </is>
      </c>
      <c r="N296" s="2" t="inlineStr"/>
      <c r="O296" s="3" t="n"/>
      <c r="P296" s="3" t="n"/>
      <c r="Q296" s="3" t="n"/>
      <c r="R296" s="3" t="n"/>
      <c r="S296" s="3" t="n"/>
      <c r="T296" s="3" t="n"/>
      <c r="U296" s="3" t="n"/>
      <c r="V296" s="3" t="n"/>
      <c r="W296" s="3" t="n"/>
      <c r="X296" s="2">
        <f>IF(COUNTA(O296:Q296)&lt;3,"",IF(AND(O296=P296,P296=Q296),O296,IF(O296=P296,O296,IF(O296=Q296,O296,IF(P296=Q296,P296,"판정 불능")))))</f>
        <v/>
      </c>
      <c r="Y296" s="2">
        <f>IF(COUNTA(O296:Q296)&lt;3,"",IF(AND(O296=P296,P296=Q296),"3/3",IF(OR(O296=P296,O296=Q296,P296=Q296),"2/3","0/3")))</f>
        <v/>
      </c>
    </row>
    <row r="297">
      <c r="A297" s="2" t="n">
        <v>296</v>
      </c>
      <c r="B297" s="2" t="inlineStr">
        <is>
          <t>W7140953907</t>
        </is>
      </c>
      <c r="C297" s="2" t="inlineStr">
        <is>
          <t>How Utilitarian Are OpenAI's Models Really? Replicat</t>
        </is>
      </c>
      <c r="D297" s="2" t="inlineStr">
        <is>
          <t>accuracy</t>
        </is>
      </c>
      <c r="E297" s="2" t="n">
        <v>100</v>
      </c>
      <c r="F297" s="2" t="inlineStr">
        <is>
          <t>C</t>
        </is>
      </c>
      <c r="G297" s="2" t="n">
        <v>100</v>
      </c>
      <c r="H297" s="2" t="n">
        <v>100</v>
      </c>
      <c r="I297" s="2" t="n">
        <v>100</v>
      </c>
      <c r="J297" s="2" t="inlineStr">
        <is>
          <t>1000</t>
        </is>
      </c>
      <c r="K297" s="2" t="inlineStr">
        <is>
          <t>0</t>
        </is>
      </c>
      <c r="L297" s="2" t="inlineStr"/>
      <c r="M297" s="2" t="inlineStr">
        <is>
          <t>재현</t>
        </is>
      </c>
      <c r="N297" s="2" t="inlineStr"/>
      <c r="O297" s="3" t="n"/>
      <c r="P297" s="3" t="n"/>
      <c r="Q297" s="3" t="n"/>
      <c r="R297" s="3" t="n"/>
      <c r="S297" s="3" t="n"/>
      <c r="T297" s="3" t="n"/>
      <c r="U297" s="3" t="n"/>
      <c r="V297" s="3" t="n"/>
      <c r="W297" s="3" t="n"/>
      <c r="X297" s="2">
        <f>IF(COUNTA(O297:Q297)&lt;3,"",IF(AND(O297=P297,P297=Q297),O297,IF(O297=P297,O297,IF(O297=Q297,O297,IF(P297=Q297,P297,"판정 불능")))))</f>
        <v/>
      </c>
      <c r="Y297" s="2">
        <f>IF(COUNTA(O297:Q297)&lt;3,"",IF(AND(O297=P297,P297=Q297),"3/3",IF(OR(O297=P297,O297=Q297,P297=Q297),"2/3","0/3")))</f>
        <v/>
      </c>
    </row>
    <row r="298">
      <c r="A298" s="2" t="n">
        <v>297</v>
      </c>
      <c r="B298" s="2" t="inlineStr">
        <is>
          <t>W7140953907</t>
        </is>
      </c>
      <c r="C298" s="2" t="inlineStr">
        <is>
          <t>How Utilitarian Are OpenAI's Models Really? Replicat</t>
        </is>
      </c>
      <c r="D298" s="2" t="inlineStr">
        <is>
          <t>accuracy</t>
        </is>
      </c>
      <c r="E298" s="2" t="n">
        <v>100</v>
      </c>
      <c r="F298" s="2" t="inlineStr">
        <is>
          <t>D</t>
        </is>
      </c>
      <c r="G298" s="2" t="n">
        <v>100</v>
      </c>
      <c r="H298" s="2" t="n">
        <v>100</v>
      </c>
      <c r="I298" s="2" t="n">
        <v>100</v>
      </c>
      <c r="J298" s="2" t="inlineStr">
        <is>
          <t>1000</t>
        </is>
      </c>
      <c r="K298" s="2" t="inlineStr">
        <is>
          <t>0</t>
        </is>
      </c>
      <c r="L298" s="2" t="inlineStr"/>
      <c r="M298" s="2" t="inlineStr">
        <is>
          <t>재현</t>
        </is>
      </c>
      <c r="N298" s="2" t="inlineStr"/>
      <c r="O298" s="3" t="n"/>
      <c r="P298" s="3" t="n"/>
      <c r="Q298" s="3" t="n"/>
      <c r="R298" s="3" t="n"/>
      <c r="S298" s="3" t="n"/>
      <c r="T298" s="3" t="n"/>
      <c r="U298" s="3" t="n"/>
      <c r="V298" s="3" t="n"/>
      <c r="W298" s="3" t="n"/>
      <c r="X298" s="2">
        <f>IF(COUNTA(O298:Q298)&lt;3,"",IF(AND(O298=P298,P298=Q298),O298,IF(O298=P298,O298,IF(O298=Q298,O298,IF(P298=Q298,P298,"판정 불능")))))</f>
        <v/>
      </c>
      <c r="Y298" s="2">
        <f>IF(COUNTA(O298:Q298)&lt;3,"",IF(AND(O298=P298,P298=Q298),"3/3",IF(OR(O298=P298,O298=Q298,P298=Q298),"2/3","0/3")))</f>
        <v/>
      </c>
    </row>
    <row r="299">
      <c r="A299" s="2" t="n">
        <v>298</v>
      </c>
      <c r="B299" s="2" t="inlineStr">
        <is>
          <t>W7144391352</t>
        </is>
      </c>
      <c r="C299" s="2" t="inlineStr">
        <is>
          <t>CALRK-Bench: Evaluating Context-Aware Legal Reasonin</t>
        </is>
      </c>
      <c r="D299" s="2" t="inlineStr">
        <is>
          <t>accuracy</t>
        </is>
      </c>
      <c r="E299" s="2" t="n">
        <v>0.754</v>
      </c>
      <c r="F299" s="2" t="inlineStr">
        <is>
          <t>A</t>
        </is>
      </c>
      <c r="G299" s="2" t="n">
        <v>0.659</v>
      </c>
      <c r="H299" s="2" t="n">
        <v>0.599</v>
      </c>
      <c r="I299" s="2" t="n">
        <v>0.713</v>
      </c>
      <c r="J299" s="2" t="inlineStr">
        <is>
          <t>279</t>
        </is>
      </c>
      <c r="K299" s="2" t="inlineStr">
        <is>
          <t>2</t>
        </is>
      </c>
      <c r="L299" s="2" t="inlineStr"/>
      <c r="M299" s="2" t="inlineStr">
        <is>
          <t>편차</t>
        </is>
      </c>
      <c r="N299" s="2" t="inlineStr"/>
      <c r="O299" s="3" t="n"/>
      <c r="P299" s="3" t="n"/>
      <c r="Q299" s="3" t="n"/>
      <c r="R299" s="3" t="n"/>
      <c r="S299" s="3" t="n"/>
      <c r="T299" s="3" t="n"/>
      <c r="U299" s="3" t="n"/>
      <c r="V299" s="3" t="n"/>
      <c r="W299" s="3" t="n"/>
      <c r="X299" s="2">
        <f>IF(COUNTA(O299:Q299)&lt;3,"",IF(AND(O299=P299,P299=Q299),O299,IF(O299=P299,O299,IF(O299=Q299,O299,IF(P299=Q299,P299,"판정 불능")))))</f>
        <v/>
      </c>
      <c r="Y299" s="2">
        <f>IF(COUNTA(O299:Q299)&lt;3,"",IF(AND(O299=P299,P299=Q299),"3/3",IF(OR(O299=P299,O299=Q299,P299=Q299),"2/3","0/3")))</f>
        <v/>
      </c>
    </row>
    <row r="300">
      <c r="A300" s="2" t="n">
        <v>299</v>
      </c>
      <c r="B300" s="2" t="inlineStr">
        <is>
          <t>W7144391352</t>
        </is>
      </c>
      <c r="C300" s="2" t="inlineStr">
        <is>
          <t>CALRK-Bench: Evaluating Context-Aware Legal Reasonin</t>
        </is>
      </c>
      <c r="D300" s="2" t="inlineStr">
        <is>
          <t>accuracy</t>
        </is>
      </c>
      <c r="E300" s="2" t="n">
        <v>0.754</v>
      </c>
      <c r="F300" s="2" t="inlineStr">
        <is>
          <t>B</t>
        </is>
      </c>
      <c r="G300" s="2" t="n">
        <v>0.717</v>
      </c>
      <c r="H300" s="2" t="n">
        <v>0.663</v>
      </c>
      <c r="I300" s="2" t="n">
        <v>0.767</v>
      </c>
      <c r="J300" s="2" t="inlineStr">
        <is>
          <t>279</t>
        </is>
      </c>
      <c r="K300" s="2" t="inlineStr">
        <is>
          <t>0</t>
        </is>
      </c>
      <c r="L300" s="2" t="inlineStr"/>
      <c r="M300" s="2" t="inlineStr">
        <is>
          <t>재현</t>
        </is>
      </c>
      <c r="N300" s="2" t="inlineStr"/>
      <c r="O300" s="3" t="n"/>
      <c r="P300" s="3" t="n"/>
      <c r="Q300" s="3" t="n"/>
      <c r="R300" s="3" t="n"/>
      <c r="S300" s="3" t="n"/>
      <c r="T300" s="3" t="n"/>
      <c r="U300" s="3" t="n"/>
      <c r="V300" s="3" t="n"/>
      <c r="W300" s="3" t="n"/>
      <c r="X300" s="2">
        <f>IF(COUNTA(O300:Q300)&lt;3,"",IF(AND(O300=P300,P300=Q300),O300,IF(O300=P300,O300,IF(O300=Q300,O300,IF(P300=Q300,P300,"판정 불능")))))</f>
        <v/>
      </c>
      <c r="Y300" s="2">
        <f>IF(COUNTA(O300:Q300)&lt;3,"",IF(AND(O300=P300,P300=Q300),"3/3",IF(OR(O300=P300,O300=Q300,P300=Q300),"2/3","0/3")))</f>
        <v/>
      </c>
    </row>
    <row r="301">
      <c r="A301" s="2" t="n">
        <v>300</v>
      </c>
      <c r="B301" s="2" t="inlineStr">
        <is>
          <t>W7144391352</t>
        </is>
      </c>
      <c r="C301" s="2" t="inlineStr">
        <is>
          <t>CALRK-Bench: Evaluating Context-Aware Legal Reasonin</t>
        </is>
      </c>
      <c r="D301" s="2" t="inlineStr">
        <is>
          <t>accuracy</t>
        </is>
      </c>
      <c r="E301" s="2" t="n">
        <v>0.754</v>
      </c>
      <c r="F301" s="2" t="inlineStr">
        <is>
          <t>C</t>
        </is>
      </c>
      <c r="G301" s="2" t="n">
        <v>0.7634408602150539</v>
      </c>
      <c r="H301" s="2" t="n">
        <v>0.7168458781362007</v>
      </c>
      <c r="I301" s="2" t="n">
        <v>0.8172043010752689</v>
      </c>
      <c r="J301" s="2" t="n">
        <v>279</v>
      </c>
      <c r="K301" s="2" t="n">
        <v>0</v>
      </c>
      <c r="L301" s="2" t="inlineStr"/>
      <c r="M301" s="2" t="inlineStr">
        <is>
          <t>재현</t>
        </is>
      </c>
      <c r="N301" s="2" t="inlineStr"/>
      <c r="O301" s="3" t="n"/>
      <c r="P301" s="3" t="n"/>
      <c r="Q301" s="3" t="n"/>
      <c r="R301" s="3" t="n"/>
      <c r="S301" s="3" t="n"/>
      <c r="T301" s="3" t="n"/>
      <c r="U301" s="3" t="n"/>
      <c r="V301" s="3" t="n"/>
      <c r="W301" s="3" t="n"/>
      <c r="X301" s="2">
        <f>IF(COUNTA(O301:Q301)&lt;3,"",IF(AND(O301=P301,P301=Q301),O301,IF(O301=P301,O301,IF(O301=Q301,O301,IF(P301=Q301,P301,"판정 불능")))))</f>
        <v/>
      </c>
      <c r="Y301" s="2">
        <f>IF(COUNTA(O301:Q301)&lt;3,"",IF(AND(O301=P301,P301=Q301),"3/3",IF(OR(O301=P301,O301=Q301,P301=Q301),"2/3","0/3")))</f>
        <v/>
      </c>
    </row>
    <row r="302">
      <c r="A302" s="2" t="n">
        <v>301</v>
      </c>
      <c r="B302" s="2" t="inlineStr">
        <is>
          <t>W7144391352</t>
        </is>
      </c>
      <c r="C302" s="2" t="inlineStr">
        <is>
          <t>CALRK-Bench: Evaluating Context-Aware Legal Reasonin</t>
        </is>
      </c>
      <c r="D302" s="2" t="inlineStr">
        <is>
          <t>accuracy</t>
        </is>
      </c>
      <c r="E302" s="2" t="n">
        <v>0.754</v>
      </c>
      <c r="F302" s="2" t="inlineStr">
        <is>
          <t>D</t>
        </is>
      </c>
      <c r="G302" s="2" t="n">
        <v>0.76</v>
      </c>
      <c r="H302" s="2" t="n">
        <v>0.71</v>
      </c>
      <c r="I302" s="2" t="n">
        <v>0.8100000000000001</v>
      </c>
      <c r="J302" s="2" t="inlineStr">
        <is>
          <t>279</t>
        </is>
      </c>
      <c r="K302" s="2" t="inlineStr">
        <is>
          <t>0</t>
        </is>
      </c>
      <c r="L302" s="2" t="inlineStr"/>
      <c r="M302" s="2" t="inlineStr">
        <is>
          <t>재현</t>
        </is>
      </c>
      <c r="N302" s="2" t="inlineStr"/>
      <c r="O302" s="3" t="n"/>
      <c r="P302" s="3" t="n"/>
      <c r="Q302" s="3" t="n"/>
      <c r="R302" s="3" t="n"/>
      <c r="S302" s="3" t="n"/>
      <c r="T302" s="3" t="n"/>
      <c r="U302" s="3" t="n"/>
      <c r="V302" s="3" t="n"/>
      <c r="W302" s="3" t="n"/>
      <c r="X302" s="2">
        <f>IF(COUNTA(O302:Q302)&lt;3,"",IF(AND(O302=P302,P302=Q302),O302,IF(O302=P302,O302,IF(O302=Q302,O302,IF(P302=Q302,P302,"판정 불능")))))</f>
        <v/>
      </c>
      <c r="Y302" s="2">
        <f>IF(COUNTA(O302:Q302)&lt;3,"",IF(AND(O302=P302,P302=Q302),"3/3",IF(OR(O302=P302,O302=Q302,P302=Q302),"2/3","0/3")))</f>
        <v/>
      </c>
    </row>
    <row r="303">
      <c r="A303" s="2" t="n">
        <v>302</v>
      </c>
      <c r="B303" s="2" t="inlineStr">
        <is>
          <t>W7159577685</t>
        </is>
      </c>
      <c r="C303" s="2" t="inlineStr">
        <is>
          <t>Breaking the Chains of Probability: Neutrosophic Log</t>
        </is>
      </c>
      <c r="D303" s="2" t="inlineStr">
        <is>
          <t>custom</t>
        </is>
      </c>
      <c r="E303" s="2" t="n">
        <v>1.36</v>
      </c>
      <c r="F303" s="2" t="inlineStr">
        <is>
          <t>A</t>
        </is>
      </c>
      <c r="G303" s="2" t="n">
        <v>2.028</v>
      </c>
      <c r="H303" s="2" t="n">
        <v>1.842</v>
      </c>
      <c r="I303" s="2" t="n">
        <v>2.23</v>
      </c>
      <c r="J303" s="2" t="inlineStr">
        <is>
          <t>25</t>
        </is>
      </c>
      <c r="K303" s="2" t="inlineStr">
        <is>
          <t>0</t>
        </is>
      </c>
      <c r="L303" s="2" t="inlineStr"/>
      <c r="M303" s="2" t="inlineStr">
        <is>
          <t>재현</t>
        </is>
      </c>
      <c r="N303" s="2" t="inlineStr"/>
      <c r="O303" s="3" t="n"/>
      <c r="P303" s="3" t="n"/>
      <c r="Q303" s="3" t="n"/>
      <c r="R303" s="3" t="n"/>
      <c r="S303" s="3" t="n"/>
      <c r="T303" s="3" t="n"/>
      <c r="U303" s="3" t="n"/>
      <c r="V303" s="3" t="n"/>
      <c r="W303" s="3" t="n"/>
      <c r="X303" s="2">
        <f>IF(COUNTA(O303:Q303)&lt;3,"",IF(AND(O303=P303,P303=Q303),O303,IF(O303=P303,O303,IF(O303=Q303,O303,IF(P303=Q303,P303,"판정 불능")))))</f>
        <v/>
      </c>
      <c r="Y303" s="2">
        <f>IF(COUNTA(O303:Q303)&lt;3,"",IF(AND(O303=P303,P303=Q303),"3/3",IF(OR(O303=P303,O303=Q303,P303=Q303),"2/3","0/3")))</f>
        <v/>
      </c>
    </row>
    <row r="304">
      <c r="A304" s="2" t="n">
        <v>303</v>
      </c>
      <c r="B304" s="2" t="inlineStr">
        <is>
          <t>W7159577685</t>
        </is>
      </c>
      <c r="C304" s="2" t="inlineStr">
        <is>
          <t>Breaking the Chains of Probability: Neutrosophic Log</t>
        </is>
      </c>
      <c r="D304" s="2" t="inlineStr">
        <is>
          <t>custom</t>
        </is>
      </c>
      <c r="E304" s="2" t="n">
        <v>1.36</v>
      </c>
      <c r="F304" s="2" t="inlineStr">
        <is>
          <t>B</t>
        </is>
      </c>
      <c r="G304" s="2" t="n">
        <v>1.372</v>
      </c>
      <c r="H304" s="2" t="n">
        <v>1.216</v>
      </c>
      <c r="I304" s="2" t="n">
        <v>1.536</v>
      </c>
      <c r="J304" s="2" t="inlineStr">
        <is>
          <t>25</t>
        </is>
      </c>
      <c r="K304" s="2" t="inlineStr">
        <is>
          <t>0</t>
        </is>
      </c>
      <c r="L304" s="2" t="inlineStr"/>
      <c r="M304" s="2" t="inlineStr">
        <is>
          <t>재현</t>
        </is>
      </c>
      <c r="N304" s="2" t="inlineStr"/>
      <c r="O304" s="3" t="n"/>
      <c r="P304" s="3" t="n"/>
      <c r="Q304" s="3" t="n"/>
      <c r="R304" s="3" t="n"/>
      <c r="S304" s="3" t="n"/>
      <c r="T304" s="3" t="n"/>
      <c r="U304" s="3" t="n"/>
      <c r="V304" s="3" t="n"/>
      <c r="W304" s="3" t="n"/>
      <c r="X304" s="2">
        <f>IF(COUNTA(O304:Q304)&lt;3,"",IF(AND(O304=P304,P304=Q304),O304,IF(O304=P304,O304,IF(O304=Q304,O304,IF(P304=Q304,P304,"판정 불능")))))</f>
        <v/>
      </c>
      <c r="Y304" s="2">
        <f>IF(COUNTA(O304:Q304)&lt;3,"",IF(AND(O304=P304,P304=Q304),"3/3",IF(OR(O304=P304,O304=Q304,P304=Q304),"2/3","0/3")))</f>
        <v/>
      </c>
    </row>
    <row r="305">
      <c r="A305" s="2" t="n">
        <v>304</v>
      </c>
      <c r="B305" s="2" t="inlineStr">
        <is>
          <t>W7159577685</t>
        </is>
      </c>
      <c r="C305" s="2" t="inlineStr">
        <is>
          <t>Breaking the Chains of Probability: Neutrosophic Log</t>
        </is>
      </c>
      <c r="D305" s="2" t="inlineStr">
        <is>
          <t>custom</t>
        </is>
      </c>
      <c r="E305" s="2" t="n">
        <v>1.36</v>
      </c>
      <c r="F305" s="2" t="inlineStr">
        <is>
          <t>C</t>
        </is>
      </c>
      <c r="G305" s="2" t="n">
        <v>1.818</v>
      </c>
      <c r="H305" s="2" t="n">
        <v>1.742</v>
      </c>
      <c r="I305" s="2" t="n">
        <v>1.896</v>
      </c>
      <c r="J305" s="2" t="inlineStr">
        <is>
          <t>25</t>
        </is>
      </c>
      <c r="K305" s="2" t="inlineStr">
        <is>
          <t>0</t>
        </is>
      </c>
      <c r="L305" s="2" t="inlineStr"/>
      <c r="M305" s="2" t="inlineStr">
        <is>
          <t>재현</t>
        </is>
      </c>
      <c r="N305" s="2" t="inlineStr"/>
      <c r="O305" s="3" t="n"/>
      <c r="P305" s="3" t="n"/>
      <c r="Q305" s="3" t="n"/>
      <c r="R305" s="3" t="n"/>
      <c r="S305" s="3" t="n"/>
      <c r="T305" s="3" t="n"/>
      <c r="U305" s="3" t="n"/>
      <c r="V305" s="3" t="n"/>
      <c r="W305" s="3" t="n"/>
      <c r="X305" s="2">
        <f>IF(COUNTA(O305:Q305)&lt;3,"",IF(AND(O305=P305,P305=Q305),O305,IF(O305=P305,O305,IF(O305=Q305,O305,IF(P305=Q305,P305,"판정 불능")))))</f>
        <v/>
      </c>
      <c r="Y305" s="2">
        <f>IF(COUNTA(O305:Q305)&lt;3,"",IF(AND(O305=P305,P305=Q305),"3/3",IF(OR(O305=P305,O305=Q305,P305=Q305),"2/3","0/3")))</f>
        <v/>
      </c>
    </row>
    <row r="306">
      <c r="A306" s="2" t="n">
        <v>305</v>
      </c>
      <c r="B306" s="2" t="inlineStr">
        <is>
          <t>W7159577685</t>
        </is>
      </c>
      <c r="C306" s="2" t="inlineStr">
        <is>
          <t>Breaking the Chains of Probability: Neutrosophic Log</t>
        </is>
      </c>
      <c r="D306" s="2" t="inlineStr">
        <is>
          <t>custom</t>
        </is>
      </c>
      <c r="E306" s="2" t="n">
        <v>1.36</v>
      </c>
      <c r="F306" s="2" t="inlineStr">
        <is>
          <t>D</t>
        </is>
      </c>
      <c r="G306" s="2" t="n">
        <v>1.416</v>
      </c>
      <c r="H306" s="2" t="n">
        <v>1.312</v>
      </c>
      <c r="I306" s="2" t="n">
        <v>1.596</v>
      </c>
      <c r="J306" s="2" t="n">
        <v>25</v>
      </c>
      <c r="K306" s="2" t="n">
        <v>0</v>
      </c>
      <c r="L306" s="2" t="inlineStr"/>
      <c r="M306" s="2" t="inlineStr">
        <is>
          <t>재현</t>
        </is>
      </c>
      <c r="N306" s="2" t="inlineStr"/>
      <c r="O306" s="3" t="n"/>
      <c r="P306" s="3" t="n"/>
      <c r="Q306" s="3" t="n"/>
      <c r="R306" s="3" t="n"/>
      <c r="S306" s="3" t="n"/>
      <c r="T306" s="3" t="n"/>
      <c r="U306" s="3" t="n"/>
      <c r="V306" s="3" t="n"/>
      <c r="W306" s="3" t="n"/>
      <c r="X306" s="2">
        <f>IF(COUNTA(O306:Q306)&lt;3,"",IF(AND(O306=P306,P306=Q306),O306,IF(O306=P306,O306,IF(O306=Q306,O306,IF(P306=Q306,P306,"판정 불능")))))</f>
        <v/>
      </c>
      <c r="Y306" s="2">
        <f>IF(COUNTA(O306:Q306)&lt;3,"",IF(AND(O306=P306,P306=Q306),"3/3",IF(OR(O306=P306,O306=Q306,P306=Q306),"2/3","0/3")))</f>
        <v/>
      </c>
    </row>
    <row r="307">
      <c r="A307" s="2" t="n">
        <v>306</v>
      </c>
      <c r="B307" s="2" t="inlineStr">
        <is>
          <t>W7159577685</t>
        </is>
      </c>
      <c r="C307" s="2" t="inlineStr">
        <is>
          <t>Breaking the Chains of Probability: Neutrosophic Log</t>
        </is>
      </c>
      <c r="D307" s="2" t="inlineStr">
        <is>
          <t>custom</t>
        </is>
      </c>
      <c r="E307" s="2" t="n">
        <v>1.36</v>
      </c>
      <c r="F307" s="2" t="inlineStr">
        <is>
          <t>E</t>
        </is>
      </c>
      <c r="G307" s="2" t="n">
        <v>1.612</v>
      </c>
      <c r="H307" s="2" t="n">
        <v>1.472</v>
      </c>
      <c r="I307" s="2" t="n">
        <v>1.76</v>
      </c>
      <c r="J307" s="2" t="inlineStr">
        <is>
          <t>25</t>
        </is>
      </c>
      <c r="K307" s="2" t="inlineStr">
        <is>
          <t>0</t>
        </is>
      </c>
      <c r="L307" s="2" t="inlineStr"/>
      <c r="M307" s="2" t="inlineStr">
        <is>
          <t>재현</t>
        </is>
      </c>
      <c r="N307" s="2" t="inlineStr"/>
      <c r="O307" s="3" t="n"/>
      <c r="P307" s="3" t="n"/>
      <c r="Q307" s="3" t="n"/>
      <c r="R307" s="3" t="n"/>
      <c r="S307" s="3" t="n"/>
      <c r="T307" s="3" t="n"/>
      <c r="U307" s="3" t="n"/>
      <c r="V307" s="3" t="n"/>
      <c r="W307" s="3" t="n"/>
      <c r="X307" s="2">
        <f>IF(COUNTA(O307:Q307)&lt;3,"",IF(AND(O307=P307,P307=Q307),O307,IF(O307=P307,O307,IF(O307=Q307,O307,IF(P307=Q307,P307,"판정 불능")))))</f>
        <v/>
      </c>
      <c r="Y307" s="2">
        <f>IF(COUNTA(O307:Q307)&lt;3,"",IF(AND(O307=P307,P307=Q307),"3/3",IF(OR(O307=P307,O307=Q307,P307=Q307),"2/3","0/3")))</f>
        <v/>
      </c>
    </row>
    <row r="308">
      <c r="A308" s="2" t="n">
        <v>307</v>
      </c>
      <c r="B308" s="2" t="inlineStr">
        <is>
          <t>W7160514285</t>
        </is>
      </c>
      <c r="C308" s="2" t="inlineStr">
        <is>
          <t>Large Language Models Show Metacognitive Sensitivity</t>
        </is>
      </c>
      <c r="D308" s="2" t="inlineStr">
        <is>
          <t>accuracy</t>
        </is>
      </c>
      <c r="E308" s="2" t="n">
        <v>0.9350000000000001</v>
      </c>
      <c r="F308" s="2" t="inlineStr">
        <is>
          <t>A</t>
        </is>
      </c>
      <c r="G308" s="2" t="n">
        <v>0.657</v>
      </c>
      <c r="H308" s="2" t="n">
        <v>0.5649999999999999</v>
      </c>
      <c r="I308" s="2" t="n">
        <v>0.741</v>
      </c>
      <c r="J308" s="2" t="inlineStr">
        <is>
          <t>108</t>
        </is>
      </c>
      <c r="K308" s="2" t="inlineStr">
        <is>
          <t>0</t>
        </is>
      </c>
      <c r="L308" s="2" t="inlineStr"/>
      <c r="M308" s="2" t="inlineStr">
        <is>
          <t>편차</t>
        </is>
      </c>
      <c r="N308" s="2" t="inlineStr"/>
      <c r="O308" s="3" t="n"/>
      <c r="P308" s="3" t="n"/>
      <c r="Q308" s="3" t="n"/>
      <c r="R308" s="3" t="n"/>
      <c r="S308" s="3" t="n"/>
      <c r="T308" s="3" t="n"/>
      <c r="U308" s="3" t="n"/>
      <c r="V308" s="3" t="n"/>
      <c r="W308" s="3" t="n"/>
      <c r="X308" s="2">
        <f>IF(COUNTA(O308:Q308)&lt;3,"",IF(AND(O308=P308,P308=Q308),O308,IF(O308=P308,O308,IF(O308=Q308,O308,IF(P308=Q308,P308,"판정 불능")))))</f>
        <v/>
      </c>
      <c r="Y308" s="2">
        <f>IF(COUNTA(O308:Q308)&lt;3,"",IF(AND(O308=P308,P308=Q308),"3/3",IF(OR(O308=P308,O308=Q308,P308=Q308),"2/3","0/3")))</f>
        <v/>
      </c>
    </row>
    <row r="309">
      <c r="A309" s="2" t="n">
        <v>308</v>
      </c>
      <c r="B309" s="2" t="inlineStr">
        <is>
          <t>W7160514285</t>
        </is>
      </c>
      <c r="C309" s="2" t="inlineStr">
        <is>
          <t>Large Language Models Show Metacognitive Sensitivity</t>
        </is>
      </c>
      <c r="D309" s="2" t="inlineStr">
        <is>
          <t>accuracy</t>
        </is>
      </c>
      <c r="E309" s="2" t="n">
        <v>0.9350000000000001</v>
      </c>
      <c r="F309" s="2" t="inlineStr">
        <is>
          <t>B</t>
        </is>
      </c>
      <c r="G309" s="2" t="n">
        <v>0.778</v>
      </c>
      <c r="H309" s="2" t="n">
        <v>0.694</v>
      </c>
      <c r="I309" s="2" t="n">
        <v>0.852</v>
      </c>
      <c r="J309" s="2" t="inlineStr">
        <is>
          <t>108</t>
        </is>
      </c>
      <c r="K309" s="2" t="inlineStr">
        <is>
          <t>0</t>
        </is>
      </c>
      <c r="L309" s="2" t="inlineStr"/>
      <c r="M309" s="2" t="inlineStr">
        <is>
          <t>편차</t>
        </is>
      </c>
      <c r="N309" s="2" t="inlineStr"/>
      <c r="O309" s="3" t="n"/>
      <c r="P309" s="3" t="n"/>
      <c r="Q309" s="3" t="n"/>
      <c r="R309" s="3" t="n"/>
      <c r="S309" s="3" t="n"/>
      <c r="T309" s="3" t="n"/>
      <c r="U309" s="3" t="n"/>
      <c r="V309" s="3" t="n"/>
      <c r="W309" s="3" t="n"/>
      <c r="X309" s="2">
        <f>IF(COUNTA(O309:Q309)&lt;3,"",IF(AND(O309=P309,P309=Q309),O309,IF(O309=P309,O309,IF(O309=Q309,O309,IF(P309=Q309,P309,"판정 불능")))))</f>
        <v/>
      </c>
      <c r="Y309" s="2">
        <f>IF(COUNTA(O309:Q309)&lt;3,"",IF(AND(O309=P309,P309=Q309),"3/3",IF(OR(O309=P309,O309=Q309,P309=Q309),"2/3","0/3")))</f>
        <v/>
      </c>
    </row>
    <row r="310">
      <c r="A310" s="2" t="n">
        <v>309</v>
      </c>
      <c r="B310" s="2" t="inlineStr">
        <is>
          <t>W7160514285</t>
        </is>
      </c>
      <c r="C310" s="2" t="inlineStr">
        <is>
          <t>Large Language Models Show Metacognitive Sensitivity</t>
        </is>
      </c>
      <c r="D310" s="2" t="inlineStr">
        <is>
          <t>accuracy</t>
        </is>
      </c>
      <c r="E310" s="2" t="n">
        <v>0.9350000000000001</v>
      </c>
      <c r="F310" s="2" t="inlineStr">
        <is>
          <t>C</t>
        </is>
      </c>
      <c r="G310" s="2" t="n">
        <v>0.8117283950617283</v>
      </c>
      <c r="H310" s="2" t="n">
        <v>0.7222222222222222</v>
      </c>
      <c r="I310" s="2" t="n">
        <v>0.8796296296296297</v>
      </c>
      <c r="J310" s="2" t="n">
        <v>108</v>
      </c>
      <c r="K310" s="2" t="n">
        <v>0</v>
      </c>
      <c r="L310" s="2" t="inlineStr"/>
      <c r="M310" s="2" t="inlineStr">
        <is>
          <t>편차</t>
        </is>
      </c>
      <c r="N310" s="2" t="inlineStr"/>
      <c r="O310" s="3" t="n"/>
      <c r="P310" s="3" t="n"/>
      <c r="Q310" s="3" t="n"/>
      <c r="R310" s="3" t="n"/>
      <c r="S310" s="3" t="n"/>
      <c r="T310" s="3" t="n"/>
      <c r="U310" s="3" t="n"/>
      <c r="V310" s="3" t="n"/>
      <c r="W310" s="3" t="n"/>
      <c r="X310" s="2">
        <f>IF(COUNTA(O310:Q310)&lt;3,"",IF(AND(O310=P310,P310=Q310),O310,IF(O310=P310,O310,IF(O310=Q310,O310,IF(P310=Q310,P310,"판정 불능")))))</f>
        <v/>
      </c>
      <c r="Y310" s="2">
        <f>IF(COUNTA(O310:Q310)&lt;3,"",IF(AND(O310=P310,P310=Q310),"3/3",IF(OR(O310=P310,O310=Q310,P310=Q310),"2/3","0/3")))</f>
        <v/>
      </c>
    </row>
    <row r="311">
      <c r="A311" s="2" t="n">
        <v>310</v>
      </c>
      <c r="B311" s="2" t="inlineStr">
        <is>
          <t>W7160514285</t>
        </is>
      </c>
      <c r="C311" s="2" t="inlineStr">
        <is>
          <t>Large Language Models Show Metacognitive Sensitivity</t>
        </is>
      </c>
      <c r="D311" s="2" t="inlineStr">
        <is>
          <t>accuracy</t>
        </is>
      </c>
      <c r="E311" s="2" t="n">
        <v>0.9350000000000001</v>
      </c>
      <c r="F311" s="2" t="inlineStr">
        <is>
          <t>D</t>
        </is>
      </c>
      <c r="G311" s="2" t="n">
        <v>0.991</v>
      </c>
      <c r="H311" s="2" t="n">
        <v>0.972</v>
      </c>
      <c r="I311" s="2" t="n">
        <v>1</v>
      </c>
      <c r="J311" s="2" t="inlineStr">
        <is>
          <t>108</t>
        </is>
      </c>
      <c r="K311" s="2" t="inlineStr">
        <is>
          <t>0</t>
        </is>
      </c>
      <c r="L311" s="2" t="inlineStr"/>
      <c r="M311" s="2" t="inlineStr">
        <is>
          <t>편차</t>
        </is>
      </c>
      <c r="N311" s="2" t="inlineStr"/>
      <c r="O311" s="3" t="n"/>
      <c r="P311" s="3" t="n"/>
      <c r="Q311" s="3" t="n"/>
      <c r="R311" s="3" t="n"/>
      <c r="S311" s="3" t="n"/>
      <c r="T311" s="3" t="n"/>
      <c r="U311" s="3" t="n"/>
      <c r="V311" s="3" t="n"/>
      <c r="W311" s="3" t="n"/>
      <c r="X311" s="2">
        <f>IF(COUNTA(O311:Q311)&lt;3,"",IF(AND(O311=P311,P311=Q311),O311,IF(O311=P311,O311,IF(O311=Q311,O311,IF(P311=Q311,P311,"판정 불능")))))</f>
        <v/>
      </c>
      <c r="Y311" s="2">
        <f>IF(COUNTA(O311:Q311)&lt;3,"",IF(AND(O311=P311,P311=Q311),"3/3",IF(OR(O311=P311,O311=Q311,P311=Q311),"2/3","0/3")))</f>
        <v/>
      </c>
    </row>
    <row r="312">
      <c r="A312" s="2" t="n">
        <v>311</v>
      </c>
      <c r="B312" s="2" t="inlineStr">
        <is>
          <t>W7161421448</t>
        </is>
      </c>
      <c r="C312" s="2" t="inlineStr">
        <is>
          <t>Identifying implicit bias in LLM-based chat AI towar</t>
        </is>
      </c>
      <c r="D312" s="2" t="inlineStr">
        <is>
          <t>custom</t>
        </is>
      </c>
      <c r="E312" s="2" t="n">
        <v>136.59</v>
      </c>
      <c r="F312" s="2" t="inlineStr">
        <is>
          <t>A</t>
        </is>
      </c>
      <c r="G312" s="2" t="n">
        <v>247.0324877614597</v>
      </c>
      <c r="H312" s="2" t="n"/>
      <c r="I312" s="2" t="n"/>
      <c r="J312" s="2" t="n">
        <v>2348</v>
      </c>
      <c r="K312" s="2" t="n">
        <v>0</v>
      </c>
      <c r="L312" s="2" t="inlineStr">
        <is>
          <t>예</t>
        </is>
      </c>
      <c r="M312" s="2" t="inlineStr">
        <is>
          <t>편차</t>
        </is>
      </c>
      <c r="N312" s="2" t="inlineStr"/>
      <c r="O312" s="3" t="n"/>
      <c r="P312" s="3" t="n"/>
      <c r="Q312" s="3" t="n"/>
      <c r="R312" s="3" t="n"/>
      <c r="S312" s="3" t="n"/>
      <c r="T312" s="3" t="n"/>
      <c r="U312" s="3" t="n"/>
      <c r="V312" s="3" t="n"/>
      <c r="W312" s="3" t="n"/>
      <c r="X312" s="2">
        <f>IF(COUNTA(O312:Q312)&lt;3,"",IF(AND(O312=P312,P312=Q312),O312,IF(O312=P312,O312,IF(O312=Q312,O312,IF(P312=Q312,P312,"판정 불능")))))</f>
        <v/>
      </c>
      <c r="Y312" s="2">
        <f>IF(COUNTA(O312:Q312)&lt;3,"",IF(AND(O312=P312,P312=Q312),"3/3",IF(OR(O312=P312,O312=Q312,P312=Q312),"2/3","0/3")))</f>
        <v/>
      </c>
    </row>
    <row r="313">
      <c r="A313" s="2" t="n">
        <v>312</v>
      </c>
      <c r="B313" s="2" t="inlineStr">
        <is>
          <t>W7162149911</t>
        </is>
      </c>
      <c r="C313" s="2" t="inlineStr">
        <is>
          <t>Refining and Reusing Annotation Guidelines for LLM A</t>
        </is>
      </c>
      <c r="D313" s="2" t="inlineStr">
        <is>
          <t>custom</t>
        </is>
      </c>
      <c r="E313" s="2" t="n">
        <v>0.46</v>
      </c>
      <c r="F313" s="2" t="inlineStr">
        <is>
          <t>A</t>
        </is>
      </c>
      <c r="G313" s="2" t="n">
        <v>0.428</v>
      </c>
      <c r="H313" s="2" t="n">
        <v>0.385</v>
      </c>
      <c r="I313" s="2" t="n">
        <v>0.469</v>
      </c>
      <c r="J313" s="2" t="inlineStr">
        <is>
          <t>100</t>
        </is>
      </c>
      <c r="K313" s="2" t="inlineStr">
        <is>
          <t>0</t>
        </is>
      </c>
      <c r="L313" s="2" t="inlineStr"/>
      <c r="M313" s="2" t="inlineStr">
        <is>
          <t>재현</t>
        </is>
      </c>
      <c r="N313" s="2" t="inlineStr"/>
      <c r="O313" s="3" t="n"/>
      <c r="P313" s="3" t="n"/>
      <c r="Q313" s="3" t="n"/>
      <c r="R313" s="3" t="n"/>
      <c r="S313" s="3" t="n"/>
      <c r="T313" s="3" t="n"/>
      <c r="U313" s="3" t="n"/>
      <c r="V313" s="3" t="n"/>
      <c r="W313" s="3" t="n"/>
      <c r="X313" s="2">
        <f>IF(COUNTA(O313:Q313)&lt;3,"",IF(AND(O313=P313,P313=Q313),O313,IF(O313=P313,O313,IF(O313=Q313,O313,IF(P313=Q313,P313,"판정 불능")))))</f>
        <v/>
      </c>
      <c r="Y313" s="2">
        <f>IF(COUNTA(O313:Q313)&lt;3,"",IF(AND(O313=P313,P313=Q313),"3/3",IF(OR(O313=P313,O313=Q313,P313=Q313),"2/3","0/3")))</f>
        <v/>
      </c>
    </row>
    <row r="314">
      <c r="A314" s="2" t="n">
        <v>313</v>
      </c>
      <c r="B314" s="2" t="inlineStr">
        <is>
          <t>W7162149911</t>
        </is>
      </c>
      <c r="C314" s="2" t="inlineStr">
        <is>
          <t>Refining and Reusing Annotation Guidelines for LLM A</t>
        </is>
      </c>
      <c r="D314" s="2" t="inlineStr">
        <is>
          <t>custom</t>
        </is>
      </c>
      <c r="E314" s="2" t="n">
        <v>0.46</v>
      </c>
      <c r="F314" s="2" t="inlineStr">
        <is>
          <t>B</t>
        </is>
      </c>
      <c r="G314" s="2" t="n">
        <v>0.165</v>
      </c>
      <c r="H314" s="2" t="n">
        <v>0.137</v>
      </c>
      <c r="I314" s="2" t="n">
        <v>0.195</v>
      </c>
      <c r="J314" s="2" t="inlineStr">
        <is>
          <t>100</t>
        </is>
      </c>
      <c r="K314" s="2" t="inlineStr">
        <is>
          <t>0</t>
        </is>
      </c>
      <c r="L314" s="2" t="inlineStr"/>
      <c r="M314" s="2" t="inlineStr">
        <is>
          <t>편차</t>
        </is>
      </c>
      <c r="N314" s="2" t="inlineStr"/>
      <c r="O314" s="3" t="n"/>
      <c r="P314" s="3" t="n"/>
      <c r="Q314" s="3" t="n"/>
      <c r="R314" s="3" t="n"/>
      <c r="S314" s="3" t="n"/>
      <c r="T314" s="3" t="n"/>
      <c r="U314" s="3" t="n"/>
      <c r="V314" s="3" t="n"/>
      <c r="W314" s="3" t="n"/>
      <c r="X314" s="2">
        <f>IF(COUNTA(O314:Q314)&lt;3,"",IF(AND(O314=P314,P314=Q314),O314,IF(O314=P314,O314,IF(O314=Q314,O314,IF(P314=Q314,P314,"판정 불능")))))</f>
        <v/>
      </c>
      <c r="Y314" s="2">
        <f>IF(COUNTA(O314:Q314)&lt;3,"",IF(AND(O314=P314,P314=Q314),"3/3",IF(OR(O314=P314,O314=Q314,P314=Q314),"2/3","0/3")))</f>
        <v/>
      </c>
    </row>
    <row r="315">
      <c r="A315" s="2" t="n">
        <v>314</v>
      </c>
      <c r="B315" s="2" t="inlineStr">
        <is>
          <t>W7162149911</t>
        </is>
      </c>
      <c r="C315" s="2" t="inlineStr">
        <is>
          <t>Refining and Reusing Annotation Guidelines for LLM A</t>
        </is>
      </c>
      <c r="D315" s="2" t="inlineStr">
        <is>
          <t>custom</t>
        </is>
      </c>
      <c r="E315" s="2" t="n">
        <v>0.46</v>
      </c>
      <c r="F315" s="2" t="inlineStr">
        <is>
          <t>C</t>
        </is>
      </c>
      <c r="G315" s="2" t="n">
        <v>0.2680086491190757</v>
      </c>
      <c r="H315" s="2" t="n">
        <v>0.1734826762246117</v>
      </c>
      <c r="I315" s="2" t="n">
        <v>0.3594107135436146</v>
      </c>
      <c r="J315" s="2" t="n">
        <v>49</v>
      </c>
      <c r="K315" s="2" t="n">
        <v>61</v>
      </c>
      <c r="L315" s="2" t="inlineStr"/>
      <c r="M315" s="2" t="inlineStr">
        <is>
          <t>편차</t>
        </is>
      </c>
      <c r="N315" s="2" t="inlineStr"/>
      <c r="O315" s="3" t="n"/>
      <c r="P315" s="3" t="n"/>
      <c r="Q315" s="3" t="n"/>
      <c r="R315" s="3" t="n"/>
      <c r="S315" s="3" t="n"/>
      <c r="T315" s="3" t="n"/>
      <c r="U315" s="3" t="n"/>
      <c r="V315" s="3" t="n"/>
      <c r="W315" s="3" t="n"/>
      <c r="X315" s="2">
        <f>IF(COUNTA(O315:Q315)&lt;3,"",IF(AND(O315=P315,P315=Q315),O315,IF(O315=P315,O315,IF(O315=Q315,O315,IF(P315=Q315,P315,"판정 불능")))))</f>
        <v/>
      </c>
      <c r="Y315" s="2">
        <f>IF(COUNTA(O315:Q315)&lt;3,"",IF(AND(O315=P315,P315=Q315),"3/3",IF(OR(O315=P315,O315=Q315,P315=Q315),"2/3","0/3")))</f>
        <v/>
      </c>
    </row>
    <row r="316">
      <c r="A316" s="2" t="n">
        <v>315</v>
      </c>
      <c r="B316" s="2" t="inlineStr">
        <is>
          <t>W7162149911</t>
        </is>
      </c>
      <c r="C316" s="2" t="inlineStr">
        <is>
          <t>Refining and Reusing Annotation Guidelines for LLM A</t>
        </is>
      </c>
      <c r="D316" s="2" t="inlineStr">
        <is>
          <t>custom</t>
        </is>
      </c>
      <c r="E316" s="2" t="n">
        <v>0.46</v>
      </c>
      <c r="F316" s="2" t="inlineStr">
        <is>
          <t>D</t>
        </is>
      </c>
      <c r="G316" s="2" t="n">
        <v>0.621</v>
      </c>
      <c r="H316" s="2" t="n">
        <v>0.584</v>
      </c>
      <c r="I316" s="2" t="n">
        <v>0.659</v>
      </c>
      <c r="J316" s="2" t="inlineStr">
        <is>
          <t>100</t>
        </is>
      </c>
      <c r="K316" s="2" t="inlineStr">
        <is>
          <t>0</t>
        </is>
      </c>
      <c r="L316" s="2" t="inlineStr"/>
      <c r="M316" s="2" t="inlineStr">
        <is>
          <t>편차</t>
        </is>
      </c>
      <c r="N316" s="2" t="inlineStr"/>
      <c r="O316" s="3" t="n"/>
      <c r="P316" s="3" t="n"/>
      <c r="Q316" s="3" t="n"/>
      <c r="R316" s="3" t="n"/>
      <c r="S316" s="3" t="n"/>
      <c r="T316" s="3" t="n"/>
      <c r="U316" s="3" t="n"/>
      <c r="V316" s="3" t="n"/>
      <c r="W316" s="3" t="n"/>
      <c r="X316" s="2">
        <f>IF(COUNTA(O316:Q316)&lt;3,"",IF(AND(O316=P316,P316=Q316),O316,IF(O316=P316,O316,IF(O316=Q316,O316,IF(P316=Q316,P316,"판정 불능")))))</f>
        <v/>
      </c>
      <c r="Y316" s="2">
        <f>IF(COUNTA(O316:Q316)&lt;3,"",IF(AND(O316=P316,P316=Q316),"3/3",IF(OR(O316=P316,O316=Q316,P316=Q316),"2/3","0/3")))</f>
        <v/>
      </c>
    </row>
    <row r="317">
      <c r="A317" s="2" t="n">
        <v>316</v>
      </c>
      <c r="B317" s="2" t="inlineStr">
        <is>
          <t>W7164614711</t>
        </is>
      </c>
      <c r="C317" s="2" t="inlineStr">
        <is>
          <t>I Understand How You Feel: Enhancing Deeper Emotiona</t>
        </is>
      </c>
      <c r="D317" s="2" t="inlineStr">
        <is>
          <t>macro_f1</t>
        </is>
      </c>
      <c r="E317" s="2" t="n">
        <v>51.68</v>
      </c>
      <c r="F317" s="2" t="inlineStr">
        <is>
          <t>A</t>
        </is>
      </c>
      <c r="G317" s="2" t="n">
        <v>44.908</v>
      </c>
      <c r="H317" s="2" t="n">
        <v>43.977</v>
      </c>
      <c r="I317" s="2" t="n">
        <v>45.777</v>
      </c>
      <c r="J317" s="2" t="inlineStr">
        <is>
          <t>12780</t>
        </is>
      </c>
      <c r="K317" s="2" t="inlineStr">
        <is>
          <t>1</t>
        </is>
      </c>
      <c r="L317" s="2" t="inlineStr"/>
      <c r="M317" s="2" t="inlineStr">
        <is>
          <t>편차</t>
        </is>
      </c>
      <c r="N317" s="2" t="inlineStr"/>
      <c r="O317" s="3" t="n"/>
      <c r="P317" s="3" t="n"/>
      <c r="Q317" s="3" t="n"/>
      <c r="R317" s="3" t="n"/>
      <c r="S317" s="3" t="n"/>
      <c r="T317" s="3" t="n"/>
      <c r="U317" s="3" t="n"/>
      <c r="V317" s="3" t="n"/>
      <c r="W317" s="3" t="n"/>
      <c r="X317" s="2">
        <f>IF(COUNTA(O317:Q317)&lt;3,"",IF(AND(O317=P317,P317=Q317),O317,IF(O317=P317,O317,IF(O317=Q317,O317,IF(P317=Q317,P317,"판정 불능")))))</f>
        <v/>
      </c>
      <c r="Y317" s="2">
        <f>IF(COUNTA(O317:Q317)&lt;3,"",IF(AND(O317=P317,P317=Q317),"3/3",IF(OR(O317=P317,O317=Q317,P317=Q317),"2/3","0/3")))</f>
        <v/>
      </c>
    </row>
    <row r="318">
      <c r="A318" s="2" t="n">
        <v>317</v>
      </c>
      <c r="B318" s="2" t="inlineStr">
        <is>
          <t>W7164614711</t>
        </is>
      </c>
      <c r="C318" s="2" t="inlineStr">
        <is>
          <t>I Understand How You Feel: Enhancing Deeper Emotiona</t>
        </is>
      </c>
      <c r="D318" s="2" t="inlineStr">
        <is>
          <t>macro_f1</t>
        </is>
      </c>
      <c r="E318" s="2" t="n">
        <v>51.68</v>
      </c>
      <c r="F318" s="2" t="inlineStr">
        <is>
          <t>B</t>
        </is>
      </c>
      <c r="G318" s="2" t="n">
        <v>47.671</v>
      </c>
      <c r="H318" s="2" t="n">
        <v>46.813</v>
      </c>
      <c r="I318" s="2" t="n">
        <v>48.564</v>
      </c>
      <c r="J318" s="2" t="inlineStr">
        <is>
          <t>12780</t>
        </is>
      </c>
      <c r="K318" s="2" t="inlineStr">
        <is>
          <t>5</t>
        </is>
      </c>
      <c r="L318" s="2" t="inlineStr"/>
      <c r="M318" s="2" t="inlineStr">
        <is>
          <t>근접</t>
        </is>
      </c>
      <c r="N318" s="2" t="inlineStr"/>
      <c r="O318" s="3" t="n"/>
      <c r="P318" s="3" t="n"/>
      <c r="Q318" s="3" t="n"/>
      <c r="R318" s="3" t="n"/>
      <c r="S318" s="3" t="n"/>
      <c r="T318" s="3" t="n"/>
      <c r="U318" s="3" t="n"/>
      <c r="V318" s="3" t="n"/>
      <c r="W318" s="3" t="n"/>
      <c r="X318" s="2">
        <f>IF(COUNTA(O318:Q318)&lt;3,"",IF(AND(O318=P318,P318=Q318),O318,IF(O318=P318,O318,IF(O318=Q318,O318,IF(P318=Q318,P318,"판정 불능")))))</f>
        <v/>
      </c>
      <c r="Y318" s="2">
        <f>IF(COUNTA(O318:Q318)&lt;3,"",IF(AND(O318=P318,P318=Q318),"3/3",IF(OR(O318=P318,O318=Q318,P318=Q318),"2/3","0/3")))</f>
        <v/>
      </c>
    </row>
    <row r="319">
      <c r="A319" s="2" t="n">
        <v>318</v>
      </c>
      <c r="B319" s="2" t="inlineStr">
        <is>
          <t>W7164614711</t>
        </is>
      </c>
      <c r="C319" s="2" t="inlineStr">
        <is>
          <t>I Understand How You Feel: Enhancing Deeper Emotiona</t>
        </is>
      </c>
      <c r="D319" s="2" t="inlineStr">
        <is>
          <t>macro_f1</t>
        </is>
      </c>
      <c r="E319" s="2" t="n">
        <v>51.68</v>
      </c>
      <c r="F319" s="2" t="inlineStr">
        <is>
          <t>C</t>
        </is>
      </c>
      <c r="G319" s="2" t="n">
        <v>46.354</v>
      </c>
      <c r="H319" s="2" t="n">
        <v>45.402</v>
      </c>
      <c r="I319" s="2" t="n">
        <v>47.179</v>
      </c>
      <c r="J319" s="2" t="inlineStr">
        <is>
          <t>12780</t>
        </is>
      </c>
      <c r="K319" s="2" t="inlineStr">
        <is>
          <t>102</t>
        </is>
      </c>
      <c r="L319" s="2" t="inlineStr"/>
      <c r="M319" s="2" t="inlineStr">
        <is>
          <t>편차</t>
        </is>
      </c>
      <c r="N319" s="2" t="inlineStr"/>
      <c r="O319" s="3" t="n"/>
      <c r="P319" s="3" t="n"/>
      <c r="Q319" s="3" t="n"/>
      <c r="R319" s="3" t="n"/>
      <c r="S319" s="3" t="n"/>
      <c r="T319" s="3" t="n"/>
      <c r="U319" s="3" t="n"/>
      <c r="V319" s="3" t="n"/>
      <c r="W319" s="3" t="n"/>
      <c r="X319" s="2">
        <f>IF(COUNTA(O319:Q319)&lt;3,"",IF(AND(O319=P319,P319=Q319),O319,IF(O319=P319,O319,IF(O319=Q319,O319,IF(P319=Q319,P319,"판정 불능")))))</f>
        <v/>
      </c>
      <c r="Y319" s="2">
        <f>IF(COUNTA(O319:Q319)&lt;3,"",IF(AND(O319=P319,P319=Q319),"3/3",IF(OR(O319=P319,O319=Q319,P319=Q319),"2/3","0/3")))</f>
        <v/>
      </c>
    </row>
    <row r="320">
      <c r="A320" s="2" t="n">
        <v>319</v>
      </c>
      <c r="B320" s="2" t="inlineStr">
        <is>
          <t>W7164614711</t>
        </is>
      </c>
      <c r="C320" s="2" t="inlineStr">
        <is>
          <t>I Understand How You Feel: Enhancing Deeper Emotiona</t>
        </is>
      </c>
      <c r="D320" s="2" t="inlineStr">
        <is>
          <t>macro_f1</t>
        </is>
      </c>
      <c r="E320" s="2" t="n">
        <v>51.68</v>
      </c>
      <c r="F320" s="2" t="inlineStr">
        <is>
          <t>D</t>
        </is>
      </c>
      <c r="G320" s="2" t="n">
        <v>41.56093177762293</v>
      </c>
      <c r="H320" s="2" t="n">
        <v>40.78404166392891</v>
      </c>
      <c r="I320" s="2" t="n">
        <v>42.42593223083343</v>
      </c>
      <c r="J320" s="2" t="n">
        <v>12780</v>
      </c>
      <c r="K320" s="2" t="n">
        <v>232</v>
      </c>
      <c r="L320" s="2" t="inlineStr"/>
      <c r="M320" s="2" t="inlineStr">
        <is>
          <t>편차</t>
        </is>
      </c>
      <c r="N320" s="2" t="inlineStr"/>
      <c r="O320" s="3" t="n"/>
      <c r="P320" s="3" t="n"/>
      <c r="Q320" s="3" t="n"/>
      <c r="R320" s="3" t="n"/>
      <c r="S320" s="3" t="n"/>
      <c r="T320" s="3" t="n"/>
      <c r="U320" s="3" t="n"/>
      <c r="V320" s="3" t="n"/>
      <c r="W320" s="3" t="n"/>
      <c r="X320" s="2">
        <f>IF(COUNTA(O320:Q320)&lt;3,"",IF(AND(O320=P320,P320=Q320),O320,IF(O320=P320,O320,IF(O320=Q320,O320,IF(P320=Q320,P320,"판정 불능")))))</f>
        <v/>
      </c>
      <c r="Y320" s="2">
        <f>IF(COUNTA(O320:Q320)&lt;3,"",IF(AND(O320=P320,P320=Q320),"3/3",IF(OR(O320=P320,O320=Q320,P320=Q320),"2/3","0/3")))</f>
        <v/>
      </c>
    </row>
    <row r="321">
      <c r="A321" s="2" t="n">
        <v>320</v>
      </c>
      <c r="B321" s="2" t="inlineStr">
        <is>
          <t>W7166799942</t>
        </is>
      </c>
      <c r="C321" s="2" t="inlineStr">
        <is>
          <t>CMTD: Cognitive Modeling with Traits and Distortions</t>
        </is>
      </c>
      <c r="D321" s="2" t="inlineStr">
        <is>
          <t>accuracy</t>
        </is>
      </c>
      <c r="E321" s="2" t="n">
        <v>42.45</v>
      </c>
      <c r="F321" s="2" t="inlineStr">
        <is>
          <t>A</t>
        </is>
      </c>
      <c r="G321" s="2" t="n">
        <v>13.831</v>
      </c>
      <c r="H321" s="2" t="n">
        <v>12.529</v>
      </c>
      <c r="I321" s="2" t="n">
        <v>15.134</v>
      </c>
      <c r="J321" s="2" t="inlineStr">
        <is>
          <t>280</t>
        </is>
      </c>
      <c r="K321" s="2" t="inlineStr">
        <is>
          <t>28</t>
        </is>
      </c>
      <c r="L321" s="2" t="inlineStr"/>
      <c r="M321" s="2" t="inlineStr">
        <is>
          <t>편차</t>
        </is>
      </c>
      <c r="N321" s="2" t="inlineStr"/>
      <c r="O321" s="3" t="n"/>
      <c r="P321" s="3" t="n"/>
      <c r="Q321" s="3" t="n"/>
      <c r="R321" s="3" t="n"/>
      <c r="S321" s="3" t="n"/>
      <c r="T321" s="3" t="n"/>
      <c r="U321" s="3" t="n"/>
      <c r="V321" s="3" t="n"/>
      <c r="W321" s="3" t="n"/>
      <c r="X321" s="2">
        <f>IF(COUNTA(O321:Q321)&lt;3,"",IF(AND(O321=P321,P321=Q321),O321,IF(O321=P321,O321,IF(O321=Q321,O321,IF(P321=Q321,P321,"판정 불능")))))</f>
        <v/>
      </c>
      <c r="Y321" s="2">
        <f>IF(COUNTA(O321:Q321)&lt;3,"",IF(AND(O321=P321,P321=Q321),"3/3",IF(OR(O321=P321,O321=Q321,P321=Q321),"2/3","0/3")))</f>
        <v/>
      </c>
    </row>
    <row r="322">
      <c r="A322" s="2" t="n">
        <v>321</v>
      </c>
      <c r="B322" s="2" t="inlineStr">
        <is>
          <t>W7166799942</t>
        </is>
      </c>
      <c r="C322" s="2" t="inlineStr">
        <is>
          <t>CMTD: Cognitive Modeling with Traits and Distortions</t>
        </is>
      </c>
      <c r="D322" s="2" t="inlineStr">
        <is>
          <t>accuracy</t>
        </is>
      </c>
      <c r="E322" s="2" t="n">
        <v>42.45</v>
      </c>
      <c r="F322" s="2" t="inlineStr">
        <is>
          <t>B</t>
        </is>
      </c>
      <c r="G322" s="2" t="n">
        <v>5.67</v>
      </c>
      <c r="H322" s="2" t="n">
        <v>4.828</v>
      </c>
      <c r="I322" s="2" t="n">
        <v>6.552</v>
      </c>
      <c r="J322" s="2" t="inlineStr">
        <is>
          <t>280</t>
        </is>
      </c>
      <c r="K322" s="2" t="inlineStr">
        <is>
          <t>61</t>
        </is>
      </c>
      <c r="L322" s="2" t="inlineStr"/>
      <c r="M322" s="2" t="inlineStr">
        <is>
          <t>편차</t>
        </is>
      </c>
      <c r="N322" s="2" t="inlineStr"/>
      <c r="O322" s="3" t="n"/>
      <c r="P322" s="3" t="n"/>
      <c r="Q322" s="3" t="n"/>
      <c r="R322" s="3" t="n"/>
      <c r="S322" s="3" t="n"/>
      <c r="T322" s="3" t="n"/>
      <c r="U322" s="3" t="n"/>
      <c r="V322" s="3" t="n"/>
      <c r="W322" s="3" t="n"/>
      <c r="X322" s="2">
        <f>IF(COUNTA(O322:Q322)&lt;3,"",IF(AND(O322=P322,P322=Q322),O322,IF(O322=P322,O322,IF(O322=Q322,O322,IF(P322=Q322,P322,"판정 불능")))))</f>
        <v/>
      </c>
      <c r="Y322" s="2">
        <f>IF(COUNTA(O322:Q322)&lt;3,"",IF(AND(O322=P322,P322=Q322),"3/3",IF(OR(O322=P322,O322=Q322,P322=Q322),"2/3","0/3")))</f>
        <v/>
      </c>
    </row>
    <row r="323">
      <c r="A323" s="2" t="n">
        <v>322</v>
      </c>
      <c r="B323" s="2" t="inlineStr">
        <is>
          <t>W7166799942</t>
        </is>
      </c>
      <c r="C323" s="2" t="inlineStr">
        <is>
          <t>CMTD: Cognitive Modeling with Traits and Distortions</t>
        </is>
      </c>
      <c r="D323" s="2" t="inlineStr">
        <is>
          <t>accuracy</t>
        </is>
      </c>
      <c r="E323" s="2" t="n">
        <v>42.45</v>
      </c>
      <c r="F323" s="2" t="inlineStr">
        <is>
          <t>C</t>
        </is>
      </c>
      <c r="G323" s="2" t="n">
        <v>7.586</v>
      </c>
      <c r="H323" s="2" t="n">
        <v>6.59</v>
      </c>
      <c r="I323" s="2" t="n">
        <v>8.621</v>
      </c>
      <c r="J323" s="2" t="inlineStr">
        <is>
          <t>280</t>
        </is>
      </c>
      <c r="K323" s="2" t="inlineStr">
        <is>
          <t>41</t>
        </is>
      </c>
      <c r="L323" s="2" t="inlineStr"/>
      <c r="M323" s="2" t="inlineStr">
        <is>
          <t>편차</t>
        </is>
      </c>
      <c r="N323" s="2" t="inlineStr"/>
      <c r="O323" s="3" t="n"/>
      <c r="P323" s="3" t="n"/>
      <c r="Q323" s="3" t="n"/>
      <c r="R323" s="3" t="n"/>
      <c r="S323" s="3" t="n"/>
      <c r="T323" s="3" t="n"/>
      <c r="U323" s="3" t="n"/>
      <c r="V323" s="3" t="n"/>
      <c r="W323" s="3" t="n"/>
      <c r="X323" s="2">
        <f>IF(COUNTA(O323:Q323)&lt;3,"",IF(AND(O323=P323,P323=Q323),O323,IF(O323=P323,O323,IF(O323=Q323,O323,IF(P323=Q323,P323,"판정 불능")))))</f>
        <v/>
      </c>
      <c r="Y323" s="2">
        <f>IF(COUNTA(O323:Q323)&lt;3,"",IF(AND(O323=P323,P323=Q323),"3/3",IF(OR(O323=P323,O323=Q323,P323=Q323),"2/3","0/3")))</f>
        <v/>
      </c>
    </row>
    <row r="324">
      <c r="A324" s="2" t="n">
        <v>323</v>
      </c>
      <c r="B324" s="2" t="inlineStr">
        <is>
          <t>W7166799942</t>
        </is>
      </c>
      <c r="C324" s="2" t="inlineStr">
        <is>
          <t>CMTD: Cognitive Modeling with Traits and Distortions</t>
        </is>
      </c>
      <c r="D324" s="2" t="inlineStr">
        <is>
          <t>accuracy</t>
        </is>
      </c>
      <c r="E324" s="2" t="n">
        <v>42.45</v>
      </c>
      <c r="F324" s="2" t="inlineStr">
        <is>
          <t>D</t>
        </is>
      </c>
      <c r="G324" s="2" t="n">
        <v>13.2183908045977</v>
      </c>
      <c r="H324" s="2" t="n">
        <v>12.1455938697318</v>
      </c>
      <c r="I324" s="2" t="n">
        <v>14.82758620689655</v>
      </c>
      <c r="J324" s="2" t="n">
        <v>280</v>
      </c>
      <c r="K324" s="2" t="n">
        <v>83</v>
      </c>
      <c r="L324" s="2" t="inlineStr"/>
      <c r="M324" s="2" t="inlineStr">
        <is>
          <t>확인 필요</t>
        </is>
      </c>
      <c r="N324" s="2" t="inlineStr"/>
      <c r="O324" s="3" t="n"/>
      <c r="P324" s="3" t="n"/>
      <c r="Q324" s="3" t="n"/>
      <c r="R324" s="3" t="n"/>
      <c r="S324" s="3" t="n"/>
      <c r="T324" s="3" t="n"/>
      <c r="U324" s="3" t="n"/>
      <c r="V324" s="3" t="n"/>
      <c r="W324" s="3" t="n"/>
      <c r="X324" s="2">
        <f>IF(COUNTA(O324:Q324)&lt;3,"",IF(AND(O324=P324,P324=Q324),O324,IF(O324=P324,O324,IF(O324=Q324,O324,IF(P324=Q324,P324,"판정 불능")))))</f>
        <v/>
      </c>
      <c r="Y324" s="2">
        <f>IF(COUNTA(O324:Q324)&lt;3,"",IF(AND(O324=P324,P324=Q324),"3/3",IF(OR(O324=P324,O324=Q324,P324=Q324),"2/3","0/3")))</f>
        <v/>
      </c>
    </row>
    <row r="325">
      <c r="A325" s="2" t="n">
        <v>324</v>
      </c>
      <c r="B325" s="2" t="inlineStr">
        <is>
          <t>W7166821175</t>
        </is>
      </c>
      <c r="C325" s="2" t="inlineStr">
        <is>
          <t>From Regulatory Approvals to Patents: Cross-Domain L</t>
        </is>
      </c>
      <c r="D325" s="2" t="inlineStr">
        <is>
          <t>accuracy</t>
        </is>
      </c>
      <c r="E325" s="2" t="n">
        <v>60.1</v>
      </c>
      <c r="F325" s="2" t="inlineStr">
        <is>
          <t>A</t>
        </is>
      </c>
      <c r="G325" s="2" t="n">
        <v>60.342</v>
      </c>
      <c r="H325" s="2" t="n">
        <v>56.239</v>
      </c>
      <c r="I325" s="2" t="n">
        <v>64.274</v>
      </c>
      <c r="J325" s="2" t="inlineStr">
        <is>
          <t>585</t>
        </is>
      </c>
      <c r="K325" s="2" t="inlineStr">
        <is>
          <t>0</t>
        </is>
      </c>
      <c r="L325" s="2" t="inlineStr"/>
      <c r="M325" s="2" t="inlineStr">
        <is>
          <t>재현</t>
        </is>
      </c>
      <c r="N325" s="2" t="inlineStr"/>
      <c r="O325" s="3" t="n"/>
      <c r="P325" s="3" t="n"/>
      <c r="Q325" s="3" t="n"/>
      <c r="R325" s="3" t="n"/>
      <c r="S325" s="3" t="n"/>
      <c r="T325" s="3" t="n"/>
      <c r="U325" s="3" t="n"/>
      <c r="V325" s="3" t="n"/>
      <c r="W325" s="3" t="n"/>
      <c r="X325" s="2">
        <f>IF(COUNTA(O325:Q325)&lt;3,"",IF(AND(O325=P325,P325=Q325),O325,IF(O325=P325,O325,IF(O325=Q325,O325,IF(P325=Q325,P325,"판정 불능")))))</f>
        <v/>
      </c>
      <c r="Y325" s="2">
        <f>IF(COUNTA(O325:Q325)&lt;3,"",IF(AND(O325=P325,P325=Q325),"3/3",IF(OR(O325=P325,O325=Q325,P325=Q325),"2/3","0/3")))</f>
        <v/>
      </c>
    </row>
    <row r="326">
      <c r="A326" s="2" t="n">
        <v>325</v>
      </c>
      <c r="B326" s="2" t="inlineStr">
        <is>
          <t>W7166821175</t>
        </is>
      </c>
      <c r="C326" s="2" t="inlineStr">
        <is>
          <t>From Regulatory Approvals to Patents: Cross-Domain L</t>
        </is>
      </c>
      <c r="D326" s="2" t="inlineStr">
        <is>
          <t>accuracy</t>
        </is>
      </c>
      <c r="E326" s="2" t="n">
        <v>60.1</v>
      </c>
      <c r="F326" s="2" t="inlineStr">
        <is>
          <t>B</t>
        </is>
      </c>
      <c r="G326" s="2" t="n">
        <v>75.04300000000001</v>
      </c>
      <c r="H326" s="2" t="n">
        <v>71.624</v>
      </c>
      <c r="I326" s="2" t="n">
        <v>78.462</v>
      </c>
      <c r="J326" s="2" t="inlineStr">
        <is>
          <t>585</t>
        </is>
      </c>
      <c r="K326" s="2" t="inlineStr">
        <is>
          <t>2</t>
        </is>
      </c>
      <c r="L326" s="2" t="inlineStr"/>
      <c r="M326" s="2" t="inlineStr">
        <is>
          <t>편차</t>
        </is>
      </c>
      <c r="N326" s="2" t="inlineStr"/>
      <c r="O326" s="3" t="n"/>
      <c r="P326" s="3" t="n"/>
      <c r="Q326" s="3" t="n"/>
      <c r="R326" s="3" t="n"/>
      <c r="S326" s="3" t="n"/>
      <c r="T326" s="3" t="n"/>
      <c r="U326" s="3" t="n"/>
      <c r="V326" s="3" t="n"/>
      <c r="W326" s="3" t="n"/>
      <c r="X326" s="2">
        <f>IF(COUNTA(O326:Q326)&lt;3,"",IF(AND(O326=P326,P326=Q326),O326,IF(O326=P326,O326,IF(O326=Q326,O326,IF(P326=Q326,P326,"판정 불능")))))</f>
        <v/>
      </c>
      <c r="Y326" s="2">
        <f>IF(COUNTA(O326:Q326)&lt;3,"",IF(AND(O326=P326,P326=Q326),"3/3",IF(OR(O326=P326,O326=Q326,P326=Q326),"2/3","0/3")))</f>
        <v/>
      </c>
    </row>
    <row r="327">
      <c r="A327" s="2" t="n">
        <v>326</v>
      </c>
      <c r="B327" s="2" t="inlineStr">
        <is>
          <t>W7166821175</t>
        </is>
      </c>
      <c r="C327" s="2" t="inlineStr">
        <is>
          <t>From Regulatory Approvals to Patents: Cross-Domain L</t>
        </is>
      </c>
      <c r="D327" s="2" t="inlineStr">
        <is>
          <t>accuracy</t>
        </is>
      </c>
      <c r="E327" s="2" t="n">
        <v>60.1</v>
      </c>
      <c r="F327" s="2" t="inlineStr">
        <is>
          <t>C</t>
        </is>
      </c>
      <c r="G327" s="2" t="n">
        <v>90.94</v>
      </c>
      <c r="H327" s="2" t="n">
        <v>88.547</v>
      </c>
      <c r="I327" s="2" t="n">
        <v>93.167</v>
      </c>
      <c r="J327" s="2" t="inlineStr">
        <is>
          <t>585</t>
        </is>
      </c>
      <c r="K327" s="2" t="inlineStr">
        <is>
          <t>0</t>
        </is>
      </c>
      <c r="L327" s="2" t="inlineStr"/>
      <c r="M327" s="2" t="inlineStr">
        <is>
          <t>편차</t>
        </is>
      </c>
      <c r="N327" s="2" t="inlineStr"/>
      <c r="O327" s="3" t="n"/>
      <c r="P327" s="3" t="n"/>
      <c r="Q327" s="3" t="n"/>
      <c r="R327" s="3" t="n"/>
      <c r="S327" s="3" t="n"/>
      <c r="T327" s="3" t="n"/>
      <c r="U327" s="3" t="n"/>
      <c r="V327" s="3" t="n"/>
      <c r="W327" s="3" t="n"/>
      <c r="X327" s="2">
        <f>IF(COUNTA(O327:Q327)&lt;3,"",IF(AND(O327=P327,P327=Q327),O327,IF(O327=P327,O327,IF(O327=Q327,O327,IF(P327=Q327,P327,"판정 불능")))))</f>
        <v/>
      </c>
      <c r="Y327" s="2">
        <f>IF(COUNTA(O327:Q327)&lt;3,"",IF(AND(O327=P327,P327=Q327),"3/3",IF(OR(O327=P327,O327=Q327,P327=Q327),"2/3","0/3")))</f>
        <v/>
      </c>
    </row>
    <row r="328">
      <c r="A328" s="2" t="n">
        <v>327</v>
      </c>
      <c r="B328" s="2" t="inlineStr">
        <is>
          <t>W7166821175</t>
        </is>
      </c>
      <c r="C328" s="2" t="inlineStr">
        <is>
          <t>From Regulatory Approvals to Patents: Cross-Domain L</t>
        </is>
      </c>
      <c r="D328" s="2" t="inlineStr">
        <is>
          <t>accuracy</t>
        </is>
      </c>
      <c r="E328" s="2" t="n">
        <v>60.1</v>
      </c>
      <c r="F328" s="2" t="inlineStr">
        <is>
          <t>D</t>
        </is>
      </c>
      <c r="G328" s="2" t="n">
        <v>75.214</v>
      </c>
      <c r="H328" s="2" t="n">
        <v>71.624</v>
      </c>
      <c r="I328" s="2" t="n">
        <v>78.63200000000001</v>
      </c>
      <c r="J328" s="2" t="inlineStr">
        <is>
          <t>585</t>
        </is>
      </c>
      <c r="K328" s="2" t="inlineStr">
        <is>
          <t>0</t>
        </is>
      </c>
      <c r="L328" s="2" t="inlineStr"/>
      <c r="M328" s="2" t="inlineStr">
        <is>
          <t>편차</t>
        </is>
      </c>
      <c r="N328" s="2" t="inlineStr"/>
      <c r="O328" s="3" t="n"/>
      <c r="P328" s="3" t="n"/>
      <c r="Q328" s="3" t="n"/>
      <c r="R328" s="3" t="n"/>
      <c r="S328" s="3" t="n"/>
      <c r="T328" s="3" t="n"/>
      <c r="U328" s="3" t="n"/>
      <c r="V328" s="3" t="n"/>
      <c r="W328" s="3" t="n"/>
      <c r="X328" s="2">
        <f>IF(COUNTA(O328:Q328)&lt;3,"",IF(AND(O328=P328,P328=Q328),O328,IF(O328=P328,O328,IF(O328=Q328,O328,IF(P328=Q328,P328,"판정 불능")))))</f>
        <v/>
      </c>
      <c r="Y328" s="2">
        <f>IF(COUNTA(O328:Q328)&lt;3,"",IF(AND(O328=P328,P328=Q328),"3/3",IF(OR(O328=P328,O328=Q328,P328=Q328),"2/3","0/3")))</f>
        <v/>
      </c>
    </row>
    <row r="329">
      <c r="A329" s="2" t="n">
        <v>328</v>
      </c>
      <c r="B329" s="2" t="inlineStr">
        <is>
          <t>W7166821175</t>
        </is>
      </c>
      <c r="C329" s="2" t="inlineStr">
        <is>
          <t>From Regulatory Approvals to Patents: Cross-Domain L</t>
        </is>
      </c>
      <c r="D329" s="2" t="inlineStr">
        <is>
          <t>accuracy</t>
        </is>
      </c>
      <c r="E329" s="2" t="n">
        <v>60.1</v>
      </c>
      <c r="F329" s="2" t="inlineStr">
        <is>
          <t>E</t>
        </is>
      </c>
      <c r="G329" s="2" t="n">
        <v>70.65527065527066</v>
      </c>
      <c r="H329" s="2" t="n">
        <v>67.52136752136752</v>
      </c>
      <c r="I329" s="2" t="n">
        <v>74.87179487179488</v>
      </c>
      <c r="J329" s="2" t="n">
        <v>585</v>
      </c>
      <c r="K329" s="2" t="n">
        <v>1</v>
      </c>
      <c r="L329" s="2" t="inlineStr"/>
      <c r="M329" s="2" t="inlineStr">
        <is>
          <t>편차</t>
        </is>
      </c>
      <c r="N329" s="2" t="inlineStr"/>
      <c r="O329" s="3" t="n"/>
      <c r="P329" s="3" t="n"/>
      <c r="Q329" s="3" t="n"/>
      <c r="R329" s="3" t="n"/>
      <c r="S329" s="3" t="n"/>
      <c r="T329" s="3" t="n"/>
      <c r="U329" s="3" t="n"/>
      <c r="V329" s="3" t="n"/>
      <c r="W329" s="3" t="n"/>
      <c r="X329" s="2">
        <f>IF(COUNTA(O329:Q329)&lt;3,"",IF(AND(O329=P329,P329=Q329),O329,IF(O329=P329,O329,IF(O329=Q329,O329,IF(P329=Q329,P329,"판정 불능")))))</f>
        <v/>
      </c>
      <c r="Y329" s="2">
        <f>IF(COUNTA(O329:Q329)&lt;3,"",IF(AND(O329=P329,P329=Q329),"3/3",IF(OR(O329=P329,O329=Q329,P329=Q329),"2/3","0/3")))</f>
        <v/>
      </c>
    </row>
    <row r="330">
      <c r="A330" s="2" t="n">
        <v>329</v>
      </c>
      <c r="B330" s="2" t="inlineStr">
        <is>
          <t>W7166837475</t>
        </is>
      </c>
      <c r="C330" s="2" t="inlineStr">
        <is>
          <t>Large Language Models Require Curated Context for Re</t>
        </is>
      </c>
      <c r="D330" s="2" t="inlineStr">
        <is>
          <t>macro_f1</t>
        </is>
      </c>
      <c r="E330" s="2" t="n">
        <v>0.27</v>
      </c>
      <c r="F330" s="2" t="inlineStr">
        <is>
          <t>A</t>
        </is>
      </c>
      <c r="G330" s="2" t="n">
        <v>0.260332924495732</v>
      </c>
      <c r="H330" s="2" t="n">
        <v>0.2462425428673352</v>
      </c>
      <c r="I330" s="2" t="n">
        <v>0.2734752669581557</v>
      </c>
      <c r="J330" s="2" t="n">
        <v>4412</v>
      </c>
      <c r="K330" s="2" t="n">
        <v>0</v>
      </c>
      <c r="L330" s="2" t="inlineStr">
        <is>
          <t>예</t>
        </is>
      </c>
      <c r="M330" s="2" t="inlineStr">
        <is>
          <t>재현</t>
        </is>
      </c>
      <c r="N330" s="2" t="inlineStr"/>
      <c r="O330" s="3" t="n"/>
      <c r="P330" s="3" t="n"/>
      <c r="Q330" s="3" t="n"/>
      <c r="R330" s="3" t="n"/>
      <c r="S330" s="3" t="n"/>
      <c r="T330" s="3" t="n"/>
      <c r="U330" s="3" t="n"/>
      <c r="V330" s="3" t="n"/>
      <c r="W330" s="3" t="n"/>
      <c r="X330" s="2">
        <f>IF(COUNTA(O330:Q330)&lt;3,"",IF(AND(O330=P330,P330=Q330),O330,IF(O330=P330,O330,IF(O330=Q330,O330,IF(P330=Q330,P330,"판정 불능")))))</f>
        <v/>
      </c>
      <c r="Y330" s="2">
        <f>IF(COUNTA(O330:Q330)&lt;3,"",IF(AND(O330=P330,P330=Q330),"3/3",IF(OR(O330=P330,O330=Q330,P330=Q330),"2/3","0/3")))</f>
        <v/>
      </c>
    </row>
    <row r="331">
      <c r="A331" s="2" t="n">
        <v>330</v>
      </c>
      <c r="B331" s="2" t="inlineStr">
        <is>
          <t>W7166852552</t>
        </is>
      </c>
      <c r="C331" s="2" t="inlineStr">
        <is>
          <t>LexGenius: An Expert-Level Benchmark for Large Langu</t>
        </is>
      </c>
      <c r="D331" s="2" t="inlineStr">
        <is>
          <t>accuracy</t>
        </is>
      </c>
      <c r="E331" s="2" t="n">
        <v>46.51</v>
      </c>
      <c r="F331" s="2" t="inlineStr">
        <is>
          <t>A</t>
        </is>
      </c>
      <c r="G331" s="2" t="n">
        <v>63.571</v>
      </c>
      <c r="H331" s="2" t="n">
        <v>62.552</v>
      </c>
      <c r="I331" s="2" t="n">
        <v>64.566</v>
      </c>
      <c r="J331" s="2" t="inlineStr">
        <is>
          <t>8345</t>
        </is>
      </c>
      <c r="K331" s="2" t="inlineStr">
        <is>
          <t>10</t>
        </is>
      </c>
      <c r="L331" s="2" t="inlineStr"/>
      <c r="M331" s="2" t="inlineStr">
        <is>
          <t>편차</t>
        </is>
      </c>
      <c r="N331" s="2" t="inlineStr"/>
      <c r="O331" s="3" t="n"/>
      <c r="P331" s="3" t="n"/>
      <c r="Q331" s="3" t="n"/>
      <c r="R331" s="3" t="n"/>
      <c r="S331" s="3" t="n"/>
      <c r="T331" s="3" t="n"/>
      <c r="U331" s="3" t="n"/>
      <c r="V331" s="3" t="n"/>
      <c r="W331" s="3" t="n"/>
      <c r="X331" s="2">
        <f>IF(COUNTA(O331:Q331)&lt;3,"",IF(AND(O331=P331,P331=Q331),O331,IF(O331=P331,O331,IF(O331=Q331,O331,IF(P331=Q331,P331,"판정 불능")))))</f>
        <v/>
      </c>
      <c r="Y331" s="2">
        <f>IF(COUNTA(O331:Q331)&lt;3,"",IF(AND(O331=P331,P331=Q331),"3/3",IF(OR(O331=P331,O331=Q331,P331=Q331),"2/3","0/3")))</f>
        <v/>
      </c>
    </row>
    <row r="332">
      <c r="A332" s="2" t="n">
        <v>331</v>
      </c>
      <c r="B332" s="2" t="inlineStr">
        <is>
          <t>W7166852552</t>
        </is>
      </c>
      <c r="C332" s="2" t="inlineStr">
        <is>
          <t>LexGenius: An Expert-Level Benchmark for Large Langu</t>
        </is>
      </c>
      <c r="D332" s="2" t="inlineStr">
        <is>
          <t>accuracy</t>
        </is>
      </c>
      <c r="E332" s="2" t="n">
        <v>46.51</v>
      </c>
      <c r="F332" s="2" t="inlineStr">
        <is>
          <t>B</t>
        </is>
      </c>
      <c r="G332" s="2" t="n">
        <v>55.53</v>
      </c>
      <c r="H332" s="2" t="n">
        <v>54.451</v>
      </c>
      <c r="I332" s="2" t="n">
        <v>56.633</v>
      </c>
      <c r="J332" s="2" t="inlineStr">
        <is>
          <t>8345</t>
        </is>
      </c>
      <c r="K332" s="2" t="inlineStr">
        <is>
          <t>2</t>
        </is>
      </c>
      <c r="L332" s="2" t="inlineStr"/>
      <c r="M332" s="2" t="inlineStr">
        <is>
          <t>편차</t>
        </is>
      </c>
      <c r="N332" s="2" t="inlineStr"/>
      <c r="O332" s="3" t="n"/>
      <c r="P332" s="3" t="n"/>
      <c r="Q332" s="3" t="n"/>
      <c r="R332" s="3" t="n"/>
      <c r="S332" s="3" t="n"/>
      <c r="T332" s="3" t="n"/>
      <c r="U332" s="3" t="n"/>
      <c r="V332" s="3" t="n"/>
      <c r="W332" s="3" t="n"/>
      <c r="X332" s="2">
        <f>IF(COUNTA(O332:Q332)&lt;3,"",IF(AND(O332=P332,P332=Q332),O332,IF(O332=P332,O332,IF(O332=Q332,O332,IF(P332=Q332,P332,"판정 불능")))))</f>
        <v/>
      </c>
      <c r="Y332" s="2">
        <f>IF(COUNTA(O332:Q332)&lt;3,"",IF(AND(O332=P332,P332=Q332),"3/3",IF(OR(O332=P332,O332=Q332,P332=Q332),"2/3","0/3")))</f>
        <v/>
      </c>
    </row>
    <row r="333">
      <c r="A333" s="2" t="n">
        <v>332</v>
      </c>
      <c r="B333" s="2" t="inlineStr">
        <is>
          <t>W7166852552</t>
        </is>
      </c>
      <c r="C333" s="2" t="inlineStr">
        <is>
          <t>LexGenius: An Expert-Level Benchmark for Large Langu</t>
        </is>
      </c>
      <c r="D333" s="2" t="inlineStr">
        <is>
          <t>accuracy</t>
        </is>
      </c>
      <c r="E333" s="2" t="n">
        <v>46.51</v>
      </c>
      <c r="F333" s="2" t="inlineStr">
        <is>
          <t>C</t>
        </is>
      </c>
      <c r="G333" s="2" t="n">
        <v>64.685</v>
      </c>
      <c r="H333" s="2" t="n">
        <v>63.738</v>
      </c>
      <c r="I333" s="2" t="n">
        <v>65.68000000000001</v>
      </c>
      <c r="J333" s="2" t="inlineStr">
        <is>
          <t>8345</t>
        </is>
      </c>
      <c r="K333" s="2" t="inlineStr">
        <is>
          <t>0</t>
        </is>
      </c>
      <c r="L333" s="2" t="inlineStr"/>
      <c r="M333" s="2" t="inlineStr">
        <is>
          <t>편차</t>
        </is>
      </c>
      <c r="N333" s="2" t="inlineStr"/>
      <c r="O333" s="3" t="n"/>
      <c r="P333" s="3" t="n"/>
      <c r="Q333" s="3" t="n"/>
      <c r="R333" s="3" t="n"/>
      <c r="S333" s="3" t="n"/>
      <c r="T333" s="3" t="n"/>
      <c r="U333" s="3" t="n"/>
      <c r="V333" s="3" t="n"/>
      <c r="W333" s="3" t="n"/>
      <c r="X333" s="2">
        <f>IF(COUNTA(O333:Q333)&lt;3,"",IF(AND(O333=P333,P333=Q333),O333,IF(O333=P333,O333,IF(O333=Q333,O333,IF(P333=Q333,P333,"판정 불능")))))</f>
        <v/>
      </c>
      <c r="Y333" s="2">
        <f>IF(COUNTA(O333:Q333)&lt;3,"",IF(AND(O333=P333,P333=Q333),"3/3",IF(OR(O333=P333,O333=Q333,P333=Q333),"2/3","0/3")))</f>
        <v/>
      </c>
    </row>
    <row r="334">
      <c r="A334" s="2" t="n">
        <v>333</v>
      </c>
      <c r="B334" s="2" t="inlineStr">
        <is>
          <t>W7166852552</t>
        </is>
      </c>
      <c r="C334" s="2" t="inlineStr">
        <is>
          <t>LexGenius: An Expert-Level Benchmark for Large Langu</t>
        </is>
      </c>
      <c r="D334" s="2" t="inlineStr">
        <is>
          <t>accuracy</t>
        </is>
      </c>
      <c r="E334" s="2" t="n">
        <v>46.51</v>
      </c>
      <c r="F334" s="2" t="inlineStr">
        <is>
          <t>D</t>
        </is>
      </c>
      <c r="G334" s="2" t="n">
        <v>48.05272618334332</v>
      </c>
      <c r="H334" s="2" t="n">
        <v>46.99820251647694</v>
      </c>
      <c r="I334" s="2" t="n">
        <v>49.19143199520671</v>
      </c>
      <c r="J334" s="2" t="n">
        <v>8345</v>
      </c>
      <c r="K334" s="2" t="n">
        <v>16</v>
      </c>
      <c r="L334" s="2" t="inlineStr"/>
      <c r="M334" s="2" t="inlineStr">
        <is>
          <t>재현</t>
        </is>
      </c>
      <c r="N334" s="2" t="inlineStr"/>
      <c r="O334" s="3" t="n"/>
      <c r="P334" s="3" t="n"/>
      <c r="Q334" s="3" t="n"/>
      <c r="R334" s="3" t="n"/>
      <c r="S334" s="3" t="n"/>
      <c r="T334" s="3" t="n"/>
      <c r="U334" s="3" t="n"/>
      <c r="V334" s="3" t="n"/>
      <c r="W334" s="3" t="n"/>
      <c r="X334" s="2">
        <f>IF(COUNTA(O334:Q334)&lt;3,"",IF(AND(O334=P334,P334=Q334),O334,IF(O334=P334,O334,IF(O334=Q334,O334,IF(P334=Q334,P334,"판정 불능")))))</f>
        <v/>
      </c>
      <c r="Y334" s="2">
        <f>IF(COUNTA(O334:Q334)&lt;3,"",IF(AND(O334=P334,P334=Q334),"3/3",IF(OR(O334=P334,O334=Q334,P334=Q334),"2/3","0/3")))</f>
        <v/>
      </c>
    </row>
    <row r="335">
      <c r="A335" s="2" t="n">
        <v>334</v>
      </c>
      <c r="B335" s="2" t="inlineStr">
        <is>
          <t>W7166872685</t>
        </is>
      </c>
      <c r="C335" s="2" t="inlineStr">
        <is>
          <t>Machine Behavior in Relational Moral Dilemmas: Moral</t>
        </is>
      </c>
      <c r="D335" s="2" t="inlineStr">
        <is>
          <t>accuracy</t>
        </is>
      </c>
      <c r="E335" s="2" t="n">
        <v>0.53</v>
      </c>
      <c r="F335" s="2" t="inlineStr">
        <is>
          <t>A</t>
        </is>
      </c>
      <c r="G335" s="2" t="n">
        <v>1</v>
      </c>
      <c r="H335" s="2" t="n">
        <v>1</v>
      </c>
      <c r="I335" s="2" t="n">
        <v>1</v>
      </c>
      <c r="J335" s="2" t="inlineStr">
        <is>
          <t>432</t>
        </is>
      </c>
      <c r="K335" s="2" t="inlineStr">
        <is>
          <t>0</t>
        </is>
      </c>
      <c r="L335" s="2" t="inlineStr"/>
      <c r="M335" s="2" t="inlineStr">
        <is>
          <t>편차</t>
        </is>
      </c>
      <c r="N335" s="2" t="inlineStr"/>
      <c r="O335" s="3" t="n"/>
      <c r="P335" s="3" t="n"/>
      <c r="Q335" s="3" t="n"/>
      <c r="R335" s="3" t="n"/>
      <c r="S335" s="3" t="n"/>
      <c r="T335" s="3" t="n"/>
      <c r="U335" s="3" t="n"/>
      <c r="V335" s="3" t="n"/>
      <c r="W335" s="3" t="n"/>
      <c r="X335" s="2">
        <f>IF(COUNTA(O335:Q335)&lt;3,"",IF(AND(O335=P335,P335=Q335),O335,IF(O335=P335,O335,IF(O335=Q335,O335,IF(P335=Q335,P335,"판정 불능")))))</f>
        <v/>
      </c>
      <c r="Y335" s="2">
        <f>IF(COUNTA(O335:Q335)&lt;3,"",IF(AND(O335=P335,P335=Q335),"3/3",IF(OR(O335=P335,O335=Q335,P335=Q335),"2/3","0/3")))</f>
        <v/>
      </c>
    </row>
    <row r="336">
      <c r="A336" s="2" t="n">
        <v>335</v>
      </c>
      <c r="B336" s="2" t="inlineStr">
        <is>
          <t>W7166872685</t>
        </is>
      </c>
      <c r="C336" s="2" t="inlineStr">
        <is>
          <t>Machine Behavior in Relational Moral Dilemmas: Moral</t>
        </is>
      </c>
      <c r="D336" s="2" t="inlineStr">
        <is>
          <t>accuracy</t>
        </is>
      </c>
      <c r="E336" s="2" t="n">
        <v>0.53</v>
      </c>
      <c r="F336" s="2" t="inlineStr">
        <is>
          <t>B</t>
        </is>
      </c>
      <c r="G336" s="2" t="n">
        <v>0.988</v>
      </c>
      <c r="H336" s="2" t="n">
        <v>0.977</v>
      </c>
      <c r="I336" s="2" t="n">
        <v>0.998</v>
      </c>
      <c r="J336" s="2" t="inlineStr">
        <is>
          <t>432</t>
        </is>
      </c>
      <c r="K336" s="2" t="inlineStr">
        <is>
          <t>0</t>
        </is>
      </c>
      <c r="L336" s="2" t="inlineStr"/>
      <c r="M336" s="2" t="inlineStr">
        <is>
          <t>편차</t>
        </is>
      </c>
      <c r="N336" s="2" t="inlineStr"/>
      <c r="O336" s="3" t="n"/>
      <c r="P336" s="3" t="n"/>
      <c r="Q336" s="3" t="n"/>
      <c r="R336" s="3" t="n"/>
      <c r="S336" s="3" t="n"/>
      <c r="T336" s="3" t="n"/>
      <c r="U336" s="3" t="n"/>
      <c r="V336" s="3" t="n"/>
      <c r="W336" s="3" t="n"/>
      <c r="X336" s="2">
        <f>IF(COUNTA(O336:Q336)&lt;3,"",IF(AND(O336=P336,P336=Q336),O336,IF(O336=P336,O336,IF(O336=Q336,O336,IF(P336=Q336,P336,"판정 불능")))))</f>
        <v/>
      </c>
      <c r="Y336" s="2">
        <f>IF(COUNTA(O336:Q336)&lt;3,"",IF(AND(O336=P336,P336=Q336),"3/3",IF(OR(O336=P336,O336=Q336,P336=Q336),"2/3","0/3")))</f>
        <v/>
      </c>
    </row>
    <row r="337">
      <c r="A337" s="2" t="n">
        <v>336</v>
      </c>
      <c r="B337" s="2" t="inlineStr">
        <is>
          <t>W7166872685</t>
        </is>
      </c>
      <c r="C337" s="2" t="inlineStr">
        <is>
          <t>Machine Behavior in Relational Moral Dilemmas: Moral</t>
        </is>
      </c>
      <c r="D337" s="2" t="inlineStr">
        <is>
          <t>accuracy</t>
        </is>
      </c>
      <c r="E337" s="2" t="n">
        <v>0.53</v>
      </c>
      <c r="F337" s="2" t="inlineStr">
        <is>
          <t>C</t>
        </is>
      </c>
      <c r="G337" s="2" t="n">
        <v>0.78</v>
      </c>
      <c r="H337" s="2" t="n">
        <v>0.741</v>
      </c>
      <c r="I337" s="2" t="n">
        <v>0.8169999999999999</v>
      </c>
      <c r="J337" s="2" t="inlineStr">
        <is>
          <t>432</t>
        </is>
      </c>
      <c r="K337" s="2" t="inlineStr">
        <is>
          <t>4</t>
        </is>
      </c>
      <c r="L337" s="2" t="inlineStr"/>
      <c r="M337" s="2" t="inlineStr">
        <is>
          <t>편차</t>
        </is>
      </c>
      <c r="N337" s="2" t="inlineStr"/>
      <c r="O337" s="3" t="n"/>
      <c r="P337" s="3" t="n"/>
      <c r="Q337" s="3" t="n"/>
      <c r="R337" s="3" t="n"/>
      <c r="S337" s="3" t="n"/>
      <c r="T337" s="3" t="n"/>
      <c r="U337" s="3" t="n"/>
      <c r="V337" s="3" t="n"/>
      <c r="W337" s="3" t="n"/>
      <c r="X337" s="2">
        <f>IF(COUNTA(O337:Q337)&lt;3,"",IF(AND(O337=P337,P337=Q337),O337,IF(O337=P337,O337,IF(O337=Q337,O337,IF(P337=Q337,P337,"판정 불능")))))</f>
        <v/>
      </c>
      <c r="Y337" s="2">
        <f>IF(COUNTA(O337:Q337)&lt;3,"",IF(AND(O337=P337,P337=Q337),"3/3",IF(OR(O337=P337,O337=Q337,P337=Q337),"2/3","0/3")))</f>
        <v/>
      </c>
    </row>
    <row r="338">
      <c r="A338" s="2" t="n">
        <v>337</v>
      </c>
      <c r="B338" s="2" t="inlineStr">
        <is>
          <t>W7166872685</t>
        </is>
      </c>
      <c r="C338" s="2" t="inlineStr">
        <is>
          <t>Machine Behavior in Relational Moral Dilemmas: Moral</t>
        </is>
      </c>
      <c r="D338" s="2" t="inlineStr">
        <is>
          <t>accuracy</t>
        </is>
      </c>
      <c r="E338" s="2" t="n">
        <v>0.53</v>
      </c>
      <c r="F338" s="2" t="inlineStr">
        <is>
          <t>D</t>
        </is>
      </c>
      <c r="G338" s="2" t="n">
        <v>0.9984567901234568</v>
      </c>
      <c r="H338" s="2" t="n">
        <v>1</v>
      </c>
      <c r="I338" s="2" t="n">
        <v>1</v>
      </c>
      <c r="J338" s="2" t="n">
        <v>432</v>
      </c>
      <c r="K338" s="2" t="n">
        <v>0</v>
      </c>
      <c r="L338" s="2" t="inlineStr"/>
      <c r="M338" s="2" t="inlineStr">
        <is>
          <t>편차</t>
        </is>
      </c>
      <c r="N338" s="2" t="inlineStr"/>
      <c r="O338" s="3" t="n"/>
      <c r="P338" s="3" t="n"/>
      <c r="Q338" s="3" t="n"/>
      <c r="R338" s="3" t="n"/>
      <c r="S338" s="3" t="n"/>
      <c r="T338" s="3" t="n"/>
      <c r="U338" s="3" t="n"/>
      <c r="V338" s="3" t="n"/>
      <c r="W338" s="3" t="n"/>
      <c r="X338" s="2">
        <f>IF(COUNTA(O338:Q338)&lt;3,"",IF(AND(O338=P338,P338=Q338),O338,IF(O338=P338,O338,IF(O338=Q338,O338,IF(P338=Q338,P338,"판정 불능")))))</f>
        <v/>
      </c>
      <c r="Y338" s="2">
        <f>IF(COUNTA(O338:Q338)&lt;3,"",IF(AND(O338=P338,P338=Q338),"3/3",IF(OR(O338=P338,O338=Q338,P338=Q338),"2/3","0/3")))</f>
        <v/>
      </c>
    </row>
    <row r="339">
      <c r="A339" s="2" t="n">
        <v>338</v>
      </c>
      <c r="B339" s="2" t="inlineStr">
        <is>
          <t>W7169474262</t>
        </is>
      </c>
      <c r="C339" s="2" t="inlineStr">
        <is>
          <t>The One-Word Census: Answer-Choice Conformity Across</t>
        </is>
      </c>
      <c r="D339" s="2" t="inlineStr">
        <is>
          <t>custom</t>
        </is>
      </c>
      <c r="E339" s="2" t="n">
        <v>40</v>
      </c>
      <c r="F339" s="2" t="inlineStr">
        <is>
          <t>A</t>
        </is>
      </c>
      <c r="G339" s="2" t="n">
        <v>41.935</v>
      </c>
      <c r="H339" s="2" t="n">
        <v>37.568</v>
      </c>
      <c r="I339" s="2" t="n">
        <v>48.806</v>
      </c>
      <c r="J339" s="2" t="inlineStr">
        <is>
          <t>124</t>
        </is>
      </c>
      <c r="K339" s="2" t="inlineStr">
        <is>
          <t>0</t>
        </is>
      </c>
      <c r="L339" s="2" t="inlineStr"/>
      <c r="M339" s="2" t="inlineStr">
        <is>
          <t>재현</t>
        </is>
      </c>
      <c r="N339" s="2" t="inlineStr"/>
      <c r="O339" s="3" t="n"/>
      <c r="P339" s="3" t="n"/>
      <c r="Q339" s="3" t="n"/>
      <c r="R339" s="3" t="n"/>
      <c r="S339" s="3" t="n"/>
      <c r="T339" s="3" t="n"/>
      <c r="U339" s="3" t="n"/>
      <c r="V339" s="3" t="n"/>
      <c r="W339" s="3" t="n"/>
      <c r="X339" s="2">
        <f>IF(COUNTA(O339:Q339)&lt;3,"",IF(AND(O339=P339,P339=Q339),O339,IF(O339=P339,O339,IF(O339=Q339,O339,IF(P339=Q339,P339,"판정 불능")))))</f>
        <v/>
      </c>
      <c r="Y339" s="2">
        <f>IF(COUNTA(O339:Q339)&lt;3,"",IF(AND(O339=P339,P339=Q339),"3/3",IF(OR(O339=P339,O339=Q339,P339=Q339),"2/3","0/3")))</f>
        <v/>
      </c>
    </row>
    <row r="340">
      <c r="A340" s="2" t="n">
        <v>339</v>
      </c>
      <c r="B340" s="2" t="inlineStr">
        <is>
          <t>W7169474262</t>
        </is>
      </c>
      <c r="C340" s="2" t="inlineStr">
        <is>
          <t>The One-Word Census: Answer-Choice Conformity Across</t>
        </is>
      </c>
      <c r="D340" s="2" t="inlineStr">
        <is>
          <t>custom</t>
        </is>
      </c>
      <c r="E340" s="2" t="n">
        <v>40</v>
      </c>
      <c r="F340" s="2" t="inlineStr">
        <is>
          <t>B</t>
        </is>
      </c>
      <c r="G340" s="2" t="n">
        <v>37.903</v>
      </c>
      <c r="H340" s="2" t="n">
        <v>35.735</v>
      </c>
      <c r="I340" s="2" t="n">
        <v>47.134</v>
      </c>
      <c r="J340" s="2" t="inlineStr">
        <is>
          <t>124</t>
        </is>
      </c>
      <c r="K340" s="2" t="inlineStr">
        <is>
          <t>0</t>
        </is>
      </c>
      <c r="L340" s="2" t="inlineStr"/>
      <c r="M340" s="2" t="inlineStr">
        <is>
          <t>재현</t>
        </is>
      </c>
      <c r="N340" s="2" t="inlineStr"/>
      <c r="O340" s="3" t="n"/>
      <c r="P340" s="3" t="n"/>
      <c r="Q340" s="3" t="n"/>
      <c r="R340" s="3" t="n"/>
      <c r="S340" s="3" t="n"/>
      <c r="T340" s="3" t="n"/>
      <c r="U340" s="3" t="n"/>
      <c r="V340" s="3" t="n"/>
      <c r="W340" s="3" t="n"/>
      <c r="X340" s="2">
        <f>IF(COUNTA(O340:Q340)&lt;3,"",IF(AND(O340=P340,P340=Q340),O340,IF(O340=P340,O340,IF(O340=Q340,O340,IF(P340=Q340,P340,"판정 불능")))))</f>
        <v/>
      </c>
      <c r="Y340" s="2">
        <f>IF(COUNTA(O340:Q340)&lt;3,"",IF(AND(O340=P340,P340=Q340),"3/3",IF(OR(O340=P340,O340=Q340,P340=Q340),"2/3","0/3")))</f>
        <v/>
      </c>
    </row>
    <row r="341">
      <c r="A341" s="2" t="n">
        <v>340</v>
      </c>
      <c r="B341" s="2" t="inlineStr">
        <is>
          <t>W7169474262</t>
        </is>
      </c>
      <c r="C341" s="2" t="inlineStr">
        <is>
          <t>The One-Word Census: Answer-Choice Conformity Across</t>
        </is>
      </c>
      <c r="D341" s="2" t="inlineStr">
        <is>
          <t>custom</t>
        </is>
      </c>
      <c r="E341" s="2" t="n">
        <v>40</v>
      </c>
      <c r="F341" s="2" t="inlineStr">
        <is>
          <t>C</t>
        </is>
      </c>
      <c r="G341" s="2" t="n">
        <v>34.677</v>
      </c>
      <c r="H341" s="2" t="n">
        <v>34.14</v>
      </c>
      <c r="I341" s="2" t="n">
        <v>44.788</v>
      </c>
      <c r="J341" s="2" t="inlineStr">
        <is>
          <t>124</t>
        </is>
      </c>
      <c r="K341" s="2" t="inlineStr">
        <is>
          <t>0</t>
        </is>
      </c>
      <c r="L341" s="2" t="inlineStr"/>
      <c r="M341" s="2" t="inlineStr">
        <is>
          <t>재현</t>
        </is>
      </c>
      <c r="N341" s="2" t="inlineStr"/>
      <c r="O341" s="3" t="n"/>
      <c r="P341" s="3" t="n"/>
      <c r="Q341" s="3" t="n"/>
      <c r="R341" s="3" t="n"/>
      <c r="S341" s="3" t="n"/>
      <c r="T341" s="3" t="n"/>
      <c r="U341" s="3" t="n"/>
      <c r="V341" s="3" t="n"/>
      <c r="W341" s="3" t="n"/>
      <c r="X341" s="2">
        <f>IF(COUNTA(O341:Q341)&lt;3,"",IF(AND(O341=P341,P341=Q341),O341,IF(O341=P341,O341,IF(O341=Q341,O341,IF(P341=Q341,P341,"판정 불능")))))</f>
        <v/>
      </c>
      <c r="Y341" s="2">
        <f>IF(COUNTA(O341:Q341)&lt;3,"",IF(AND(O341=P341,P341=Q341),"3/3",IF(OR(O341=P341,O341=Q341,P341=Q341),"2/3","0/3")))</f>
        <v/>
      </c>
    </row>
    <row r="342">
      <c r="A342" s="2" t="n">
        <v>341</v>
      </c>
      <c r="B342" s="2" t="inlineStr">
        <is>
          <t>W7169474262</t>
        </is>
      </c>
      <c r="C342" s="2" t="inlineStr">
        <is>
          <t>The One-Word Census: Answer-Choice Conformity Across</t>
        </is>
      </c>
      <c r="D342" s="2" t="inlineStr">
        <is>
          <t>custom</t>
        </is>
      </c>
      <c r="E342" s="2" t="n">
        <v>40</v>
      </c>
      <c r="F342" s="2" t="inlineStr">
        <is>
          <t>D</t>
        </is>
      </c>
      <c r="G342" s="2" t="n">
        <v>41.129</v>
      </c>
      <c r="H342" s="2" t="n">
        <v>37.308</v>
      </c>
      <c r="I342" s="2" t="n">
        <v>48.295</v>
      </c>
      <c r="J342" s="2" t="inlineStr">
        <is>
          <t>124</t>
        </is>
      </c>
      <c r="K342" s="2" t="inlineStr">
        <is>
          <t>0</t>
        </is>
      </c>
      <c r="L342" s="2" t="inlineStr"/>
      <c r="M342" s="2" t="inlineStr">
        <is>
          <t>재현</t>
        </is>
      </c>
      <c r="N342" s="2" t="inlineStr"/>
      <c r="O342" s="3" t="n"/>
      <c r="P342" s="3" t="n"/>
      <c r="Q342" s="3" t="n"/>
      <c r="R342" s="3" t="n"/>
      <c r="S342" s="3" t="n"/>
      <c r="T342" s="3" t="n"/>
      <c r="U342" s="3" t="n"/>
      <c r="V342" s="3" t="n"/>
      <c r="W342" s="3" t="n"/>
      <c r="X342" s="2">
        <f>IF(COUNTA(O342:Q342)&lt;3,"",IF(AND(O342=P342,P342=Q342),O342,IF(O342=P342,O342,IF(O342=Q342,O342,IF(P342=Q342,P342,"판정 불능")))))</f>
        <v/>
      </c>
      <c r="Y342" s="2">
        <f>IF(COUNTA(O342:Q342)&lt;3,"",IF(AND(O342=P342,P342=Q342),"3/3",IF(OR(O342=P342,O342=Q342,P342=Q342),"2/3","0/3")))</f>
        <v/>
      </c>
    </row>
    <row r="343">
      <c r="A343" s="2" t="n">
        <v>342</v>
      </c>
      <c r="B343" s="2" t="inlineStr">
        <is>
          <t>W7169474262</t>
        </is>
      </c>
      <c r="C343" s="2" t="inlineStr">
        <is>
          <t>The One-Word Census: Answer-Choice Conformity Across</t>
        </is>
      </c>
      <c r="D343" s="2" t="inlineStr">
        <is>
          <t>custom</t>
        </is>
      </c>
      <c r="E343" s="2" t="n">
        <v>40</v>
      </c>
      <c r="F343" s="2" t="inlineStr">
        <is>
          <t>E</t>
        </is>
      </c>
      <c r="G343" s="2" t="n">
        <v>41.39784946236559</v>
      </c>
      <c r="H343" s="2" t="n">
        <v>38.23055555555555</v>
      </c>
      <c r="I343" s="2" t="n">
        <v>49.63575268817204</v>
      </c>
      <c r="J343" s="2" t="n">
        <v>124</v>
      </c>
      <c r="K343" s="2" t="n">
        <v>0</v>
      </c>
      <c r="L343" s="2" t="inlineStr"/>
      <c r="M343" s="2" t="inlineStr">
        <is>
          <t>재현</t>
        </is>
      </c>
      <c r="N343" s="2" t="inlineStr"/>
      <c r="O343" s="3" t="n"/>
      <c r="P343" s="3" t="n"/>
      <c r="Q343" s="3" t="n"/>
      <c r="R343" s="3" t="n"/>
      <c r="S343" s="3" t="n"/>
      <c r="T343" s="3" t="n"/>
      <c r="U343" s="3" t="n"/>
      <c r="V343" s="3" t="n"/>
      <c r="W343" s="3" t="n"/>
      <c r="X343" s="2">
        <f>IF(COUNTA(O343:Q343)&lt;3,"",IF(AND(O343=P343,P343=Q343),O343,IF(O343=P343,O343,IF(O343=Q343,O343,IF(P343=Q343,P343,"판정 불능")))))</f>
        <v/>
      </c>
      <c r="Y343" s="2">
        <f>IF(COUNTA(O343:Q343)&lt;3,"",IF(AND(O343=P343,P343=Q343),"3/3",IF(OR(O343=P343,O343=Q343,P343=Q343),"2/3","0/3")))</f>
        <v/>
      </c>
    </row>
    <row r="344">
      <c r="A344" s="2" t="n">
        <v>343</v>
      </c>
      <c r="B344" s="2" t="inlineStr">
        <is>
          <t>W7197053912</t>
        </is>
      </c>
      <c r="C344" s="2" t="inlineStr">
        <is>
          <t>ANCHOR-RE: An Agentic Neuro-Symbolic Framework for G</t>
        </is>
      </c>
      <c r="D344" s="2" t="inlineStr">
        <is>
          <t>custom</t>
        </is>
      </c>
      <c r="E344" s="2" t="n">
        <v>0.654</v>
      </c>
      <c r="F344" s="2" t="inlineStr">
        <is>
          <t>A</t>
        </is>
      </c>
      <c r="G344" s="2" t="n">
        <v>0.5749712778398902</v>
      </c>
      <c r="H344" s="2" t="n">
        <v>0.5466986443106802</v>
      </c>
      <c r="I344" s="2" t="n">
        <v>0.5930391082741866</v>
      </c>
      <c r="J344" s="2" t="n">
        <v>3211</v>
      </c>
      <c r="K344" s="2" t="n">
        <v>6</v>
      </c>
      <c r="L344" s="2" t="inlineStr"/>
      <c r="M344" s="2" t="inlineStr">
        <is>
          <t>편차</t>
        </is>
      </c>
      <c r="N344" s="2" t="inlineStr"/>
      <c r="O344" s="3" t="n"/>
      <c r="P344" s="3" t="n"/>
      <c r="Q344" s="3" t="n"/>
      <c r="R344" s="3" t="n"/>
      <c r="S344" s="3" t="n"/>
      <c r="T344" s="3" t="n"/>
      <c r="U344" s="3" t="n"/>
      <c r="V344" s="3" t="n"/>
      <c r="W344" s="3" t="n"/>
      <c r="X344" s="2">
        <f>IF(COUNTA(O344:Q344)&lt;3,"",IF(AND(O344=P344,P344=Q344),O344,IF(O344=P344,O344,IF(O344=Q344,O344,IF(P344=Q344,P344,"판정 불능")))))</f>
        <v/>
      </c>
      <c r="Y344" s="2">
        <f>IF(COUNTA(O344:Q344)&lt;3,"",IF(AND(O344=P344,P344=Q344),"3/3",IF(OR(O344=P344,O344=Q344,P344=Q344),"2/3","0/3")))</f>
        <v/>
      </c>
    </row>
  </sheetData>
  <dataValidations count="2">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showDropDown="0" showInputMessage="0" showErrorMessage="0" allowBlank="1" type="list">
      <formula1>"생존,부분 생존,사망,판정 불능"</formula1>
    </dataValidation>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8 T209 T210 T211 T212 T213 T214 T215 T216 T217 T218 T219 T220 T221 T222 T223 T224 T225 T226 T227 T228 T229 T230 T231 T232 T233 T234 T235 T236 T237 T238 T239 T240 T241 T242 T243 T244 T245 T246 T247 T248 T249 T250 T251 T252 T253 T254 T255 T256 T257 T258 T259 T260 T261 T262 T263 T264 T265 T266 T267 T268 T269 T270 T271 T272 T273 T274 T275 T276 T277 T278 T279 T280 T281 T282 T283 T284 T285 T286 T287 T288 T289 T290 T291 T292 T293 T294 T295 T296 T297 T298 T299 T300 T301 T302 T303 T304 T305 T306 T307 T308 T309 T310 T311 T312 T313 T314 T315 T316 T317 T318 T319 T320 T321 T322 T323 T324 T325 T326 T327 T328 T329 T330 T331 T332 T333 T334 T335 T336 T337 T338 T339 T340 T341 T342 T343 T344" showDropDown="0" showInputMessage="0" showErrorMessage="0" allowBlank="1" type="list">
      <formula1>"핵심 주장 성립,부분 성립,불성립,판단 불가"</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6" customWidth="1" min="2" max="2"/>
    <col width="18" customWidth="1" min="3" max="3"/>
  </cols>
  <sheetData>
    <row r="1">
      <c r="A1" s="5" t="inlineStr">
        <is>
          <t>집계 (수식)</t>
        </is>
      </c>
      <c r="B1" s="5" t="inlineStr">
        <is>
          <t>TierA_claims</t>
        </is>
      </c>
      <c r="C1" s="5" t="inlineStr">
        <is>
          <t>PromptLevel_blind</t>
        </is>
      </c>
    </row>
    <row r="2">
      <c r="A2" s="6" t="inlineStr">
        <is>
          <t>코딩된 행 수 (세 명 모두)</t>
        </is>
      </c>
      <c r="B2" s="6">
        <f>COUNTIF(TierA_claims!W2:W96,"&lt;&gt;")</f>
        <v/>
      </c>
      <c r="C2" s="6">
        <f>COUNTIF(PromptLevel_blind!X2:X344,"&lt;&gt;")</f>
        <v/>
      </c>
    </row>
    <row r="3">
      <c r="A3" s="6" t="inlineStr">
        <is>
          <t>다수결 생존</t>
        </is>
      </c>
      <c r="B3" s="6">
        <f>COUNTIF(TierA_claims!W2:W96,"생존")</f>
        <v/>
      </c>
      <c r="C3" s="6">
        <f>COUNTIF(PromptLevel_blind!X2:X344,"생존")</f>
        <v/>
      </c>
    </row>
    <row r="4">
      <c r="A4" s="6" t="inlineStr">
        <is>
          <t>다수결 부분 생존</t>
        </is>
      </c>
      <c r="B4" s="6">
        <f>COUNTIF(TierA_claims!W2:W96,"부분 생존")</f>
        <v/>
      </c>
      <c r="C4" s="6">
        <f>COUNTIF(PromptLevel_blind!X2:X344,"부분 생존")</f>
        <v/>
      </c>
    </row>
    <row r="5">
      <c r="A5" s="6" t="inlineStr">
        <is>
          <t>다수결 사망</t>
        </is>
      </c>
      <c r="B5" s="6">
        <f>COUNTIF(TierA_claims!W2:W96,"사망")</f>
        <v/>
      </c>
      <c r="C5" s="6">
        <f>COUNTIF(PromptLevel_blind!X2:X344,"사망")</f>
        <v/>
      </c>
    </row>
    <row r="6">
      <c r="A6" s="6" t="inlineStr">
        <is>
          <t>다수결 판정 불능</t>
        </is>
      </c>
      <c r="B6" s="6">
        <f>COUNTIF(TierA_claims!W2:W96,"판정 불능")</f>
        <v/>
      </c>
      <c r="C6" s="6">
        <f>COUNTIF(PromptLevel_blind!X2:X344,"판정 불능")</f>
        <v/>
      </c>
    </row>
    <row r="7">
      <c r="A7" s="6" t="inlineStr">
        <is>
          <t>3/3 일치</t>
        </is>
      </c>
      <c r="B7" s="6">
        <f>COUNTIF(TierA_claims!X2:X96,"3/3")</f>
        <v/>
      </c>
      <c r="C7" s="6">
        <f>COUNTIF(PromptLevel_blind!Y2:Y344,"3/3")</f>
        <v/>
      </c>
    </row>
    <row r="8">
      <c r="A8" s="6" t="inlineStr">
        <is>
          <t>2/3 일치</t>
        </is>
      </c>
      <c r="B8" s="6">
        <f>COUNTIF(TierA_claims!X2:X96,"2/3")</f>
        <v/>
      </c>
      <c r="C8" s="6">
        <f>COUNTIF(PromptLevel_blind!Y2:Y344,"2/3")</f>
        <v/>
      </c>
    </row>
    <row r="9">
      <c r="A9" s="6" t="inlineStr">
        <is>
          <t>0/3 일치</t>
        </is>
      </c>
      <c r="B9" s="6">
        <f>COUNTIF(TierA_claims!X2:X96,"0/3")</f>
        <v/>
      </c>
      <c r="C9" s="6">
        <f>COUNTIF(PromptLevel_blind!Y2:Y344,"0/3")</f>
        <v/>
      </c>
    </row>
    <row r="10">
      <c r="A10" s="6" t="n"/>
      <c r="B10" s="6" t="n"/>
      <c r="C10" s="6" t="n"/>
    </row>
    <row r="11">
      <c r="A11" s="6" t="inlineStr">
        <is>
          <t>세 판정자의 파일을 합치고 자동 가안과 교차표를 만드는 것은 scripts/judgment_merge.py다. 위 수식은 채워진 행만 센다.</t>
        </is>
      </c>
      <c r="B11" s="6" t="n"/>
      <c r="C1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2026-09-27T12:46:36Z</dcterms:created>
  <dcterms:modified xmlns:dcterms="http://purl.org/dc/terms/" xmlns:xsi="http://www.w3.org/2001/XMLSchema-instance" xsi:type="dcterms:W3CDTF">2026-09-27T12:46:36Z</dcterms:modified>
</cp:coreProperties>
</file>